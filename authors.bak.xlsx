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ton Drive\My files\Proyectos\RoboRescue UMA\"/>
    </mc:Choice>
  </mc:AlternateContent>
  <xr:revisionPtr revIDLastSave="0" documentId="13_ncr:1_{1C7ED0CC-2A89-432B-A707-E743EA551270}" xr6:coauthVersionLast="47" xr6:coauthVersionMax="47" xr10:uidLastSave="{00000000-0000-0000-0000-000000000000}"/>
  <bookViews>
    <workbookView xWindow="-120" yWindow="-120" windowWidth="29040" windowHeight="15720" tabRatio="293" xr2:uid="{00000000-000D-0000-FFFF-FFFF00000000}"/>
  </bookViews>
  <sheets>
    <sheet name="Españ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18" i="1"/>
  <c r="Q34" i="1"/>
  <c r="Q38" i="1"/>
  <c r="Q23" i="1"/>
  <c r="Q24" i="1"/>
  <c r="Q9" i="1"/>
  <c r="Q26" i="1"/>
  <c r="Q12" i="1"/>
  <c r="Q28" i="1"/>
  <c r="Q29" i="1"/>
  <c r="Q15" i="1"/>
  <c r="Q32" i="1"/>
  <c r="Q3" i="1"/>
  <c r="Q19" i="1"/>
  <c r="Q35" i="1"/>
  <c r="Q22" i="1"/>
  <c r="Q39" i="1"/>
  <c r="Q25" i="1"/>
  <c r="Q42" i="1"/>
  <c r="Q43" i="1"/>
  <c r="Q44" i="1"/>
  <c r="Q14" i="1"/>
  <c r="Q31" i="1"/>
  <c r="Q33" i="1"/>
  <c r="Q4" i="1"/>
  <c r="Q20" i="1"/>
  <c r="Q36" i="1"/>
  <c r="Q7" i="1"/>
  <c r="Q40" i="1"/>
  <c r="Q41" i="1"/>
  <c r="Q27" i="1"/>
  <c r="Q17" i="1"/>
  <c r="Q5" i="1"/>
  <c r="Q21" i="1"/>
  <c r="Q37" i="1"/>
  <c r="Q6" i="1"/>
  <c r="Q8" i="1"/>
  <c r="Q10" i="1"/>
  <c r="Q11" i="1"/>
  <c r="Q13" i="1"/>
  <c r="Q30" i="1"/>
  <c r="Q16" i="1"/>
  <c r="O2" i="1"/>
  <c r="O18" i="1"/>
  <c r="O34" i="1"/>
  <c r="O36" i="1"/>
  <c r="O23" i="1"/>
  <c r="O8" i="1"/>
  <c r="O9" i="1"/>
  <c r="O26" i="1"/>
  <c r="O43" i="1"/>
  <c r="O44" i="1"/>
  <c r="O29" i="1"/>
  <c r="O15" i="1"/>
  <c r="O17" i="1"/>
  <c r="O3" i="1"/>
  <c r="O19" i="1"/>
  <c r="O35" i="1"/>
  <c r="O20" i="1"/>
  <c r="O7" i="1"/>
  <c r="O24" i="1"/>
  <c r="O41" i="1"/>
  <c r="O11" i="1"/>
  <c r="O28" i="1"/>
  <c r="O14" i="1"/>
  <c r="O16" i="1"/>
  <c r="O4" i="1"/>
  <c r="O10" i="1"/>
  <c r="O12" i="1"/>
  <c r="O30" i="1"/>
  <c r="O33" i="1"/>
  <c r="O5" i="1"/>
  <c r="O21" i="1"/>
  <c r="O37" i="1"/>
  <c r="O6" i="1"/>
  <c r="O38" i="1"/>
  <c r="O39" i="1"/>
  <c r="O40" i="1"/>
  <c r="O25" i="1"/>
  <c r="O42" i="1"/>
  <c r="O27" i="1"/>
  <c r="O13" i="1"/>
  <c r="O31" i="1"/>
  <c r="O32" i="1"/>
  <c r="O22" i="1"/>
  <c r="M2" i="1"/>
  <c r="M18" i="1"/>
  <c r="M34" i="1"/>
  <c r="M36" i="1"/>
  <c r="M7" i="1"/>
  <c r="M8" i="1"/>
  <c r="M41" i="1"/>
  <c r="M26" i="1"/>
  <c r="M43" i="1"/>
  <c r="M12" i="1"/>
  <c r="M30" i="1"/>
  <c r="M17" i="1"/>
  <c r="M3" i="1"/>
  <c r="M19" i="1"/>
  <c r="M35" i="1"/>
  <c r="M20" i="1"/>
  <c r="M38" i="1"/>
  <c r="M23" i="1"/>
  <c r="M24" i="1"/>
  <c r="M9" i="1"/>
  <c r="M10" i="1"/>
  <c r="M11" i="1"/>
  <c r="M44" i="1"/>
  <c r="M14" i="1"/>
  <c r="M16" i="1"/>
  <c r="M4" i="1"/>
  <c r="M13" i="1"/>
  <c r="M32" i="1"/>
  <c r="M5" i="1"/>
  <c r="M21" i="1"/>
  <c r="M37" i="1"/>
  <c r="M6" i="1"/>
  <c r="M22" i="1"/>
  <c r="M39" i="1"/>
  <c r="M40" i="1"/>
  <c r="M25" i="1"/>
  <c r="M42" i="1"/>
  <c r="M27" i="1"/>
  <c r="M28" i="1"/>
  <c r="M15" i="1"/>
  <c r="M33" i="1"/>
  <c r="M31" i="1"/>
  <c r="M29" i="1"/>
  <c r="K2" i="1"/>
  <c r="K18" i="1"/>
  <c r="K34" i="1"/>
  <c r="K21" i="1"/>
  <c r="K6" i="1"/>
  <c r="K7" i="1"/>
  <c r="K8" i="1"/>
  <c r="K41" i="1"/>
  <c r="K42" i="1"/>
  <c r="K27" i="1"/>
  <c r="K44" i="1"/>
  <c r="K14" i="1"/>
  <c r="K31" i="1"/>
  <c r="K17" i="1"/>
  <c r="K3" i="1"/>
  <c r="K19" i="1"/>
  <c r="K35" i="1"/>
  <c r="K5" i="1"/>
  <c r="K37" i="1"/>
  <c r="K38" i="1"/>
  <c r="K39" i="1"/>
  <c r="K24" i="1"/>
  <c r="K9" i="1"/>
  <c r="K10" i="1"/>
  <c r="K43" i="1"/>
  <c r="K28" i="1"/>
  <c r="K29" i="1"/>
  <c r="K30" i="1"/>
  <c r="K32" i="1"/>
  <c r="K33" i="1"/>
  <c r="K4" i="1"/>
  <c r="K20" i="1"/>
  <c r="K36" i="1"/>
  <c r="K22" i="1"/>
  <c r="K23" i="1"/>
  <c r="K40" i="1"/>
  <c r="K25" i="1"/>
  <c r="K26" i="1"/>
  <c r="K11" i="1"/>
  <c r="K12" i="1"/>
  <c r="K13" i="1"/>
  <c r="K15" i="1"/>
  <c r="K16" i="1"/>
  <c r="I2" i="1"/>
  <c r="I18" i="1"/>
  <c r="I34" i="1"/>
  <c r="I21" i="1"/>
  <c r="I8" i="1"/>
  <c r="I26" i="1"/>
  <c r="I43" i="1"/>
  <c r="I31" i="1"/>
  <c r="I32" i="1"/>
  <c r="I3" i="1"/>
  <c r="I19" i="1"/>
  <c r="I35" i="1"/>
  <c r="I22" i="1"/>
  <c r="I24" i="1"/>
  <c r="I41" i="1"/>
  <c r="I42" i="1"/>
  <c r="I12" i="1"/>
  <c r="I15" i="1"/>
  <c r="I4" i="1"/>
  <c r="I20" i="1"/>
  <c r="I36" i="1"/>
  <c r="I37" i="1"/>
  <c r="I39" i="1"/>
  <c r="I25" i="1"/>
  <c r="I11" i="1"/>
  <c r="I44" i="1"/>
  <c r="I30" i="1"/>
  <c r="I17" i="1"/>
  <c r="I5" i="1"/>
  <c r="I38" i="1"/>
  <c r="I9" i="1"/>
  <c r="I27" i="1"/>
  <c r="I13" i="1"/>
  <c r="I29" i="1"/>
  <c r="I33" i="1"/>
  <c r="I6" i="1"/>
  <c r="I7" i="1"/>
  <c r="I23" i="1"/>
  <c r="I40" i="1"/>
  <c r="I10" i="1"/>
  <c r="I28" i="1"/>
  <c r="I14" i="1"/>
  <c r="I16" i="1"/>
  <c r="G2" i="1"/>
  <c r="G18" i="1"/>
  <c r="G34" i="1"/>
  <c r="G8" i="1"/>
  <c r="G10" i="1"/>
  <c r="G28" i="1"/>
  <c r="G30" i="1"/>
  <c r="G32" i="1"/>
  <c r="G3" i="1"/>
  <c r="G19" i="1"/>
  <c r="G35" i="1"/>
  <c r="G23" i="1"/>
  <c r="G9" i="1"/>
  <c r="G42" i="1"/>
  <c r="G43" i="1"/>
  <c r="G13" i="1"/>
  <c r="G16" i="1"/>
  <c r="G4" i="1"/>
  <c r="G20" i="1"/>
  <c r="G36" i="1"/>
  <c r="G24" i="1"/>
  <c r="G41" i="1"/>
  <c r="G11" i="1"/>
  <c r="G14" i="1"/>
  <c r="G33" i="1"/>
  <c r="G5" i="1"/>
  <c r="G21" i="1"/>
  <c r="G37" i="1"/>
  <c r="G39" i="1"/>
  <c r="G25" i="1"/>
  <c r="G27" i="1"/>
  <c r="G44" i="1"/>
  <c r="G15" i="1"/>
  <c r="G17" i="1"/>
  <c r="G6" i="1"/>
  <c r="G22" i="1"/>
  <c r="G38" i="1"/>
  <c r="G7" i="1"/>
  <c r="G40" i="1"/>
  <c r="G26" i="1"/>
  <c r="G12" i="1"/>
  <c r="G29" i="1"/>
  <c r="G31" i="1"/>
</calcChain>
</file>

<file path=xl/sharedStrings.xml><?xml version="1.0" encoding="utf-8"?>
<sst xmlns="http://schemas.openxmlformats.org/spreadsheetml/2006/main" count="430" uniqueCount="316">
  <si>
    <t>folder_name</t>
  </si>
  <si>
    <t>title</t>
  </si>
  <si>
    <t>first_name</t>
  </si>
  <si>
    <t>last_name</t>
  </si>
  <si>
    <t>superuser</t>
  </si>
  <si>
    <t>role</t>
  </si>
  <si>
    <t>role_en</t>
  </si>
  <si>
    <t>organizations_text</t>
  </si>
  <si>
    <t>organizations_text_en</t>
  </si>
  <si>
    <t>user_groups_text</t>
  </si>
  <si>
    <t>user_groups_text_en</t>
  </si>
  <si>
    <t>interests_text</t>
  </si>
  <si>
    <t>interests_text_en</t>
  </si>
  <si>
    <t>education_text</t>
  </si>
  <si>
    <t>education_text_en</t>
  </si>
  <si>
    <t>bio</t>
  </si>
  <si>
    <t>bio_en</t>
  </si>
  <si>
    <t>social_email</t>
  </si>
  <si>
    <t>social_github</t>
  </si>
  <si>
    <t>social_instagram</t>
  </si>
  <si>
    <t>social_linkedin</t>
  </si>
  <si>
    <t>social_x-twitter</t>
  </si>
  <si>
    <t>admin</t>
  </si>
  <si>
    <t>Antonio J. Muñoz</t>
  </si>
  <si>
    <t>Antonio</t>
  </si>
  <si>
    <t>Muñoz</t>
  </si>
  <si>
    <t>Coordinador</t>
  </si>
  <si>
    <t>Universidad de Málaga (http://www.uma.es)</t>
  </si>
  <si>
    <t>Coordinadores</t>
  </si>
  <si>
    <t>Robot Control, Inteligencia Artificial, Diseño y Programación con Simulink de Robots</t>
  </si>
  <si>
    <t>Licenciado en Informática - Universidad de Málaga (2000)</t>
  </si>
  <si>
    <t>Mis intereses incluyen robótica de recate, automática, y programación con Matlab Simulink.</t>
  </si>
  <si>
    <t>mailto:aj@uma.es</t>
  </si>
  <si>
    <t>https://github.com/ajmunoz00</t>
  </si>
  <si>
    <t>https://www.linkedin.com/in/antonio-jos%C3%A9-mu%C3%B1oz-ram%C3%ADrez-25004b120/</t>
  </si>
  <si>
    <t>https://twitter.com/GeorgeCushen</t>
  </si>
  <si>
    <t>amalia-cristina-urdiales-garcia</t>
  </si>
  <si>
    <t>Amalia Cristina Urdiales García</t>
  </si>
  <si>
    <t>Departamento de Tecnología Electrónica</t>
  </si>
  <si>
    <t>Profesores colaboradores</t>
  </si>
  <si>
    <t>angel-aguera-ruiz</t>
  </si>
  <si>
    <t>Angel Agüera Ruíz</t>
  </si>
  <si>
    <t>Angel</t>
  </si>
  <si>
    <t>Agüera</t>
  </si>
  <si>
    <t>Ingeniero Hardware</t>
  </si>
  <si>
    <t>Hardware</t>
  </si>
  <si>
    <t>Diseño 3D, Impresion 3D, Diseño y programación de Robots, Automática con PLC</t>
  </si>
  <si>
    <t>Técnico en Sistemaas Electrotécnicos y Automatizados - I.E.S Al-Baytar (2023); Estudiante de Ingeniería Electrónica Industrial - Universidad de Málaga (2023-x)</t>
  </si>
  <si>
    <t>Mis intereses incluyen robótica, automática, y programación con Matlab Simulink.</t>
  </si>
  <si>
    <t>mailto:angel.aguera@uma.es</t>
  </si>
  <si>
    <t>antonio-ruiz-espinosa</t>
  </si>
  <si>
    <t>Antonio Ruiz Espinosa</t>
  </si>
  <si>
    <t>Antiguos miembros</t>
  </si>
  <si>
    <t>carla-parra-gonzalez</t>
  </si>
  <si>
    <t>Carla Parra González</t>
  </si>
  <si>
    <t>Carla</t>
  </si>
  <si>
    <t>Parra González</t>
  </si>
  <si>
    <t>Departamento de marketing</t>
  </si>
  <si>
    <t>Marketing</t>
  </si>
  <si>
    <t>Copywriting., Desarrollo de marca.</t>
  </si>
  <si>
    <t>Estudiante de 3° de Márketing e Investigación de Mercados - Universidad de Málaga (2022)</t>
  </si>
  <si>
    <t>Interesada en copywriting y desarrollo de marcas.</t>
  </si>
  <si>
    <t>mailto:carlaparragonzalez04@gmail.com</t>
  </si>
  <si>
    <t>https://github.com/CarlaParra2</t>
  </si>
  <si>
    <t>https://www.instagram.com/carla.parraa/profilecard/?igsh=Y3dpdDZ1OXBhNWJ0</t>
  </si>
  <si>
    <t>https://www.linkedin.com/in/carlaparraa</t>
  </si>
  <si>
    <t>carlos-lopez-lovera</t>
  </si>
  <si>
    <t>Carlos López Lovera</t>
  </si>
  <si>
    <t>Carlos</t>
  </si>
  <si>
    <t>López Lovera</t>
  </si>
  <si>
    <t>Ingeniero Software</t>
  </si>
  <si>
    <t>Software</t>
  </si>
  <si>
    <t>Inteligencia Artificial., Electrónica., Diseño 3D.</t>
  </si>
  <si>
    <t>Estudiante de 1° de ingeniería Informática - Universidad de Málaga (2024)</t>
  </si>
  <si>
    <t>Interesado especialmente en Inteligencia artificial entre otros.</t>
  </si>
  <si>
    <t>mailto:carlos09102007@gmail.com</t>
  </si>
  <si>
    <t>https://github.com/CarlosEmerito</t>
  </si>
  <si>
    <t>https://www.instagram.com/carlesleee95/</t>
  </si>
  <si>
    <t>https://www.linkedin.com/in/carlos-lópez-lovera-3115182a6/</t>
  </si>
  <si>
    <t>diego-caruna-montes</t>
  </si>
  <si>
    <t>Diego Caruana Montes</t>
  </si>
  <si>
    <t>Diego</t>
  </si>
  <si>
    <t>Caruana</t>
  </si>
  <si>
    <t>Co-leader Software</t>
  </si>
  <si>
    <t>Mentores</t>
  </si>
  <si>
    <t>Robótica, Electrónica, Inteligencia Artificial, Investigación científica</t>
  </si>
  <si>
    <t>Grado en Ingeniería Electrónica, Robótica y Mecatrónica - Universidad de Málaga (2025)</t>
  </si>
  <si>
    <t>Me gusta investigar y aprender cómo funcionan las cosas. Me interesan la robótica, la inteligencia artificial, la electrónica, la física y las matemáticas.</t>
  </si>
  <si>
    <t>mailto:dcaruanamontes@uma.es</t>
  </si>
  <si>
    <t>https://github.com/DiegoCaruanaMontes</t>
  </si>
  <si>
    <t>https://www.linkedin.com/in/diego-caruana-montes-73466024a/</t>
  </si>
  <si>
    <t>elidia-beatriz-blazquez-parra</t>
  </si>
  <si>
    <t>Elidia Beatriz Blazquez Parra</t>
  </si>
  <si>
    <t>Departamento de Expresión Gráfica, Diseño y Proyectos</t>
  </si>
  <si>
    <t>eva-roman-aguirre</t>
  </si>
  <si>
    <t>Eva Román Aguirre</t>
  </si>
  <si>
    <t>Eva</t>
  </si>
  <si>
    <t>Román</t>
  </si>
  <si>
    <t>Jefa de Marketing</t>
  </si>
  <si>
    <t>Jefes de Departamento</t>
  </si>
  <si>
    <t>NeuroMarketing, BigData, Investigación de Mercados y Comportamiento del consumidor</t>
  </si>
  <si>
    <t>Marketing e Investigación de Mercados - Universidad de Málaga (2024 (3º))</t>
  </si>
  <si>
    <t>Mis intereses son la fotografía, la lectura y el diseño.</t>
  </si>
  <si>
    <t>mailto:evaroman@uma.es</t>
  </si>
  <si>
    <t>https://github.com/swaniman</t>
  </si>
  <si>
    <t>https://www.linkedin.com/in/eva-rom%C3%A1n-0587092a2/</t>
  </si>
  <si>
    <t>ibai-gutierrez-paez</t>
  </si>
  <si>
    <t>Ibai Gutiérrez Páez</t>
  </si>
  <si>
    <t>Ibai</t>
  </si>
  <si>
    <t>Gutiérrez Páez</t>
  </si>
  <si>
    <t>Robot Control., Robots autónomos., Energía renovable.</t>
  </si>
  <si>
    <t>Estudiante de 2° de ingeniería Electrónica, Robótica y Mecatrónica - Universidad de Málaga (2023)</t>
  </si>
  <si>
    <t>Interesado en Robótica, especialmente en el desarrollo de robots autónomos.</t>
  </si>
  <si>
    <t>mailto:ibaigutierrezpaez@uma.es</t>
  </si>
  <si>
    <t>https://github.com/IbaiGutierrezPaez</t>
  </si>
  <si>
    <t>https://www.instagram.com/ibaigp/</t>
  </si>
  <si>
    <t>https://www.linkedin.com/in/ibaigutierrez</t>
  </si>
  <si>
    <t>ignacio-gonzalez-prieto</t>
  </si>
  <si>
    <t>Ignacio González Prieto</t>
  </si>
  <si>
    <t>Departamento de Ingeniería Eléctrica</t>
  </si>
  <si>
    <t>ivan-moreno-ladaga</t>
  </si>
  <si>
    <t>Iván Moreno Ladaga</t>
  </si>
  <si>
    <t>Iván</t>
  </si>
  <si>
    <t>Moreno Ladaga</t>
  </si>
  <si>
    <t>Computación cuántica., Inteligencia Artificial., Robótica.</t>
  </si>
  <si>
    <t>Estudiante de 3° de ingeniería Electrónica, Robótica y Mecatrónica - Universidad de Málaga (2023)</t>
  </si>
  <si>
    <t>Interesado en Robótica, computación cuántica y en IA.</t>
  </si>
  <si>
    <t>mailto:ivanmorladag@gmail.com</t>
  </si>
  <si>
    <t>https://github.com/TnTivanTnT</t>
  </si>
  <si>
    <t>https://www.linkedin.com/in/iv%C3%A1n-moreno-ladaga-42430a297?utm_source=share&amp;utm_campaign=share_via&amp;utm_content=profile&amp;utm_medium=android_app</t>
  </si>
  <si>
    <t>javier-aguayo-hernandez</t>
  </si>
  <si>
    <t>Fco. Javier Aguayo Hernández</t>
  </si>
  <si>
    <t>Javier</t>
  </si>
  <si>
    <t>Aguayo Hernández</t>
  </si>
  <si>
    <t>Jefe de Hardware</t>
  </si>
  <si>
    <t>Jefes de Equipo</t>
  </si>
  <si>
    <t>Diseño Gráfico, Diseño y programación de Robots, Automática con PLC</t>
  </si>
  <si>
    <t>Técnico en Automatización y Robótica Industrial - Colegio Concertado San José (2023); Estudiante de Ingeniería Electrónica Industrial - Universidad de Málaga (2023-x)</t>
  </si>
  <si>
    <t>mailto:jaguayo@uma.es</t>
  </si>
  <si>
    <t>https://github.com/Jackks27</t>
  </si>
  <si>
    <t>https://www.instagram.com/jaguayo27/</t>
  </si>
  <si>
    <t>https://www.linkedin.com/in/fco-javier-aguayo-hdez-10a50b295/</t>
  </si>
  <si>
    <t>https://twitter.com</t>
  </si>
  <si>
    <t>jesus-manuel-gomez-de-gabriel</t>
  </si>
  <si>
    <t>Jesús Manuel Gómez de Gabriel</t>
  </si>
  <si>
    <t>Departamento de Ingenierías de Sistemas y Automática</t>
  </si>
  <si>
    <t>joaquin-vega-benitez</t>
  </si>
  <si>
    <t>Joaquín Vega Benítez</t>
  </si>
  <si>
    <t>Joaquín</t>
  </si>
  <si>
    <t>Vega Benítez</t>
  </si>
  <si>
    <t>Diseño y programación de robots., Programación de PLC., Control de procesos.</t>
  </si>
  <si>
    <t>Estudiante de 4° de ingeniería Electrónica, Robótica y Mecatrónica - Universidad de Málaga (2020)</t>
  </si>
  <si>
    <t>Interesado en Robótica, especialmente en diseño y programación.</t>
  </si>
  <si>
    <t>mailto:joaquinvegabenitez@gmail.com</t>
  </si>
  <si>
    <t>https://github.com/JoaquinVega2</t>
  </si>
  <si>
    <t>https://www.linkedin.com/in/joaqu%C3%ADn-vega-ben%C3%ADtez-b11099318/</t>
  </si>
  <si>
    <t>jorge-romero-sanchez</t>
  </si>
  <si>
    <t>Jorge Romero Sánchez</t>
  </si>
  <si>
    <t>Departamento de Electrónica</t>
  </si>
  <si>
    <t>jose-pablo-recano</t>
  </si>
  <si>
    <t>Jose Pablo Recaño</t>
  </si>
  <si>
    <t>juan-gandarias</t>
  </si>
  <si>
    <t>Juan M. Gandarias</t>
  </si>
  <si>
    <t>Juan</t>
  </si>
  <si>
    <t>Gandarias</t>
  </si>
  <si>
    <t>juan-lopez-puebla</t>
  </si>
  <si>
    <t>Juan López Puebla</t>
  </si>
  <si>
    <t>_López</t>
  </si>
  <si>
    <t>Team Leader</t>
  </si>
  <si>
    <t>Robot Control, Inteligencia Artificial, Drones</t>
  </si>
  <si>
    <t>Estudiante de ingeniería Electrónica, Robótica y Mecatrónica. - Universidad de Málaga (2020)</t>
  </si>
  <si>
    <t>Interesado en Robótica de rescate y aplicación profesional de drones.</t>
  </si>
  <si>
    <t>https://github.com/JuanLopezP</t>
  </si>
  <si>
    <t>https://www.instagram.com/_juanlp_/</t>
  </si>
  <si>
    <t>https://www.linkedin.com/in/juanlopezpuebla</t>
  </si>
  <si>
    <t>laura-font-luque</t>
  </si>
  <si>
    <t>Laura Font Luque</t>
  </si>
  <si>
    <t>Laura</t>
  </si>
  <si>
    <t>Font Luque</t>
  </si>
  <si>
    <t>Robótica., Diseño 3D., Programación., Trabajo en equipo.</t>
  </si>
  <si>
    <t>Estudiante de 1° de Ingeniería Robótica, Electrónica y Mecatrónica. - Universidad de Málaga (2024)</t>
  </si>
  <si>
    <t>Robótica, Diseño 3D, Programación, Trabajo en equipo.</t>
  </si>
  <si>
    <t>mailto:laurafontluque@uma.es</t>
  </si>
  <si>
    <t>https://github.com/LauraFont1</t>
  </si>
  <si>
    <t>liliya-bakhurska</t>
  </si>
  <si>
    <t>Liliya Bakhurska</t>
  </si>
  <si>
    <t>Liliya</t>
  </si>
  <si>
    <t>Bakhurska</t>
  </si>
  <si>
    <t>Ingeniera Software</t>
  </si>
  <si>
    <t>Programación, Automatización, Robótica y electrónica</t>
  </si>
  <si>
    <t>Estudiante de Ingeniería Electrónica Robótica y Mecatrónica (2022-x)</t>
  </si>
  <si>
    <t>mailto:0611089608@uma.es</t>
  </si>
  <si>
    <t>https://github.com</t>
  </si>
  <si>
    <t>https://www.instagram.com/lili_1067/</t>
  </si>
  <si>
    <t>https://www.linkedin.com</t>
  </si>
  <si>
    <t>luis-espana-carnero</t>
  </si>
  <si>
    <t>Luis España Carnero</t>
  </si>
  <si>
    <t>Luis</t>
  </si>
  <si>
    <t>España Carnero</t>
  </si>
  <si>
    <t>Co-leader Hardware</t>
  </si>
  <si>
    <t>Impresión 3D, Diseño 3D, Robótica y electrónica</t>
  </si>
  <si>
    <t>Graduado en Ingeniería Electróncia, Robótica y Mecatrónica (3º) - Universidad de Málaga (2024)</t>
  </si>
  <si>
    <t>Mis intereses incluyen robótica, impresión 3D y diseño 3D.</t>
  </si>
  <si>
    <t>mailto:luisesp@uma.es</t>
  </si>
  <si>
    <t>https://github.com/LuisEC0</t>
  </si>
  <si>
    <t>https://www.linkedin.com/in/luis-espa%C3%B1a-carnero-587915307/</t>
  </si>
  <si>
    <t>maria-jesus-lopez-baldan</t>
  </si>
  <si>
    <t>María Jesús López Baldán</t>
  </si>
  <si>
    <t>maria-sanchez-gonzalez</t>
  </si>
  <si>
    <t>María Sánchez González</t>
  </si>
  <si>
    <t>Departamento de Periodismo</t>
  </si>
  <si>
    <t>mario-garcia-jimenez</t>
  </si>
  <si>
    <t>Mario García Jiménez</t>
  </si>
  <si>
    <t>Mario</t>
  </si>
  <si>
    <t>García</t>
  </si>
  <si>
    <t>Diseño de PCBs, Diseño y programación de Robots, Diseño electrónico general, Simulaciones y documentación</t>
  </si>
  <si>
    <t>Estudiante de Ingeniería Electrónica Industrial - Universidad de Málaga (2021-x)</t>
  </si>
  <si>
    <t>mailto:mariogj.03@uma.es</t>
  </si>
  <si>
    <t>https://github.com/MarioGarciaJimenez</t>
  </si>
  <si>
    <t>https://www.instagram.com/marioogarciia17/</t>
  </si>
  <si>
    <t>www.linkedin.com/in/mario-garcía-jiménez-230b83234</t>
  </si>
  <si>
    <t>matias-luciano-hecker</t>
  </si>
  <si>
    <t>Matías Luciano Hecker</t>
  </si>
  <si>
    <t>Matías Luciano</t>
  </si>
  <si>
    <t>Hecker</t>
  </si>
  <si>
    <t>Innovación y creación de nuevas tecnologías., Mecánica y diseño., Investigación y trabajo en equipo.</t>
  </si>
  <si>
    <t>Estudiante de 2° de ingeniería Mecánica - Universidad de Málaga (2023)</t>
  </si>
  <si>
    <t>Me interesa todo lo relacionado con la innovación y la creación de nuevas tecnologías. Me gusta la mecánica y el diseño de máquinas. Me atrae la idea de trabajar en un entorno competitivo donde pueda aprender y mejorarme como futuro ingeniero junto a otros ingenieros con los mismos intereses.</t>
  </si>
  <si>
    <t>mailto:matiaslucianohecker@gmail.com</t>
  </si>
  <si>
    <t>https://github.com/matias-luciano-hecker</t>
  </si>
  <si>
    <t>https://www.instagram.com/maty_hecker_ch/profilecard/?igsh=MWlqdW41NTBtZWQzeg==</t>
  </si>
  <si>
    <t>miguel-ian-garcia-pozo</t>
  </si>
  <si>
    <t>Miguel Ian García Pozo</t>
  </si>
  <si>
    <t>Jefe de Software</t>
  </si>
  <si>
    <t>Robot Control, Aplicaciones en proyectos de la Inteligencia Artificial, Diseño y Programación</t>
  </si>
  <si>
    <t>Estudiante de 4° de ingeniería Electrónica, Robótica y Mecatrónica - Universidad de Málaga (2021)</t>
  </si>
  <si>
    <t>Mis intereses incluyen robótica de recate, automática y programación.</t>
  </si>
  <si>
    <t>mailto:miguelian@uma.es</t>
  </si>
  <si>
    <t>https://github.com/MiguelIIan</t>
  </si>
  <si>
    <t>https://www.linkedin.com/in/miguel-ian-garcia-pozo-618862238/</t>
  </si>
  <si>
    <t>nazareth-lópez-andela</t>
  </si>
  <si>
    <t>Nazareth López Candela</t>
  </si>
  <si>
    <t>Nazareth</t>
  </si>
  <si>
    <t>López Candela</t>
  </si>
  <si>
    <t>Diseño de PCBs, Diseño y programación de Robots, Diseño electrónico</t>
  </si>
  <si>
    <t>Estudiante de Ingeniería Electrónica Industrial 4º - Universidad de Málaga (2021-x)</t>
  </si>
  <si>
    <t>mailto:nazalopez@uma.es</t>
  </si>
  <si>
    <t>https://github.com/Nazarethlopez</t>
  </si>
  <si>
    <t>https://www.instagram.com/naazalopez_/</t>
  </si>
  <si>
    <t>https://www.linkedin.com/in/nazareth-l%C3%B3pez-candela-3a7713332/</t>
  </si>
  <si>
    <t>nils-muñoz-reul</t>
  </si>
  <si>
    <t>Nils Muñoz Reul</t>
  </si>
  <si>
    <t>Nils</t>
  </si>
  <si>
    <t>Muñoz Reul</t>
  </si>
  <si>
    <t>Robotica espacial., Inteligencia artificial y robotica., Lectura.</t>
  </si>
  <si>
    <t>Estudiante de 1° de ingeniería Electrónica, Robótica y Mecatrónica - Universidad de Málaga (2024)</t>
  </si>
  <si>
    <t>Interesado en robótica espacial, inteligencia artificial y robótica, y en la lectura.</t>
  </si>
  <si>
    <t>mailto:nilsmunoz@uma.es</t>
  </si>
  <si>
    <t>https://github.com/NilsMunozReul</t>
  </si>
  <si>
    <t>nuria-munoz</t>
  </si>
  <si>
    <t>Nuria Muñoz</t>
  </si>
  <si>
    <t>Nuria</t>
  </si>
  <si>
    <t>Jefa de Mecánica</t>
  </si>
  <si>
    <t>paula-mancilla-pulido</t>
  </si>
  <si>
    <t>Paula Mancilla Pulido</t>
  </si>
  <si>
    <t>Paula</t>
  </si>
  <si>
    <t>Mancilla Pulido</t>
  </si>
  <si>
    <t>Programación, Electrónica, Robótica</t>
  </si>
  <si>
    <t>Me interesa la robótica y la programación, y completar el aprendizaje obtenido en la Universidad ganando experiencia en el desarrollo de un proyecto.</t>
  </si>
  <si>
    <t>mailto:0611105362@uma.es</t>
  </si>
  <si>
    <t>https://www.instagram.com</t>
  </si>
  <si>
    <t>paula-navarro-alarcon</t>
  </si>
  <si>
    <t>Paula Navarro Alarcón</t>
  </si>
  <si>
    <t>Navarro Alarcón</t>
  </si>
  <si>
    <t>Fotografía., Diseño.</t>
  </si>
  <si>
    <t>Interesada en diseño y fotografía.</t>
  </si>
  <si>
    <t>https://github.com/Paulaa004</t>
  </si>
  <si>
    <t>https://www.instagram.com/paulaa_.navarro/profilecard/?igsh=ZmNsbHJtZGJsenhq</t>
  </si>
  <si>
    <t>https://www.linkedin.com/in/paula-navarro-alarc%C3%B3n-a085562b8?utm_source=share&amp;utm_campaign=share_via&amp;utm_content=profile&amp;utm_medium=ios_app</t>
  </si>
  <si>
    <t>raquel-fernandez</t>
  </si>
  <si>
    <t>Raquel Fernández Ramos</t>
  </si>
  <si>
    <t>ricardo-vazquez</t>
  </si>
  <si>
    <t>Ricardo Vázquez Martín</t>
  </si>
  <si>
    <t>salvador-patricio-lazaro-herrero</t>
  </si>
  <si>
    <t>Salvador Patricio Lázaro Herrero</t>
  </si>
  <si>
    <t>Salvador Patricio</t>
  </si>
  <si>
    <t>Lázaro Herrero</t>
  </si>
  <si>
    <t>Programación., Emprendimiento., Aeronáutica.</t>
  </si>
  <si>
    <t>Estudiante de 3° de ingeniería Electrónica, Robótica y Mecatrónica - Universidad de Málaga (2022)</t>
  </si>
  <si>
    <t>Interesado en Robótica y aeronáutica.</t>
  </si>
  <si>
    <t>mailto:salvapatricio@uma.es</t>
  </si>
  <si>
    <t>https://github.com/SalvaPtrcio</t>
  </si>
  <si>
    <t>https://www.linkedin.com/in/salvador-patricio-l%C3%A1zaro-herrero-49836b321?utm_source=share&amp;utm_campaign=share_via&amp;utm_content=profile&amp;utm_medium=android_app</t>
  </si>
  <si>
    <t>yegor-antonio-radchenko-villacres</t>
  </si>
  <si>
    <t>Yegor Antonio Radchenko Villacrés</t>
  </si>
  <si>
    <t>Yegor Antonio</t>
  </si>
  <si>
    <t>Radchenko Villacrés</t>
  </si>
  <si>
    <t>Robótica., Software., Automatización.</t>
  </si>
  <si>
    <t>Interesado en Robótica, concretamente en el software.</t>
  </si>
  <si>
    <t>mailto:yegor.bogomazov@gmail.com</t>
  </si>
  <si>
    <t>https://github.com/YegorRad</t>
  </si>
  <si>
    <t>https://www.linkedin.com/in/yegor-antonio-radchenko-villacr%C3%A9s-085872297?utm_source=share&amp;utm_campaign=share_via&amp;utm_content=profile&amp;utm_medium=android_app</t>
  </si>
  <si>
    <t>zz-carlos-antonio-catalan-lopez</t>
  </si>
  <si>
    <t>Carlos Antonio Catalán López</t>
  </si>
  <si>
    <t>zz-celia-jimenez</t>
  </si>
  <si>
    <t>Celia Jiménez</t>
  </si>
  <si>
    <t>zz-francisco-carbonero</t>
  </si>
  <si>
    <t>Francisco Carbonero</t>
  </si>
  <si>
    <t>zz-ivan-calvo-santos</t>
  </si>
  <si>
    <t>Iván Calvo Santos</t>
  </si>
  <si>
    <t>zz-juan-fernando-mata-romero</t>
  </si>
  <si>
    <t>Juan Fernando Mata Romero</t>
  </si>
  <si>
    <t>zz-pascual</t>
  </si>
  <si>
    <t>Pascual</t>
  </si>
  <si>
    <t>zz-rodrigo-castra-ochoa</t>
  </si>
  <si>
    <t>Rodrigo Castro Ochoa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</si>
</sst>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Español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Inglés-style" pivot="0" count="3" xr9:uid="{00000000-0011-0000-FFFF-FFFF01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44">
  <tableColumns count="22">
    <tableColumn id="1" xr3:uid="{00000000-0010-0000-0000-000001000000}" name="folder_name"/>
    <tableColumn id="2" xr3:uid="{00000000-0010-0000-0000-000002000000}" name="title"/>
    <tableColumn id="3" xr3:uid="{00000000-0010-0000-0000-000003000000}" name="first_name"/>
    <tableColumn id="4" xr3:uid="{00000000-0010-0000-0000-000004000000}" name="last_name"/>
    <tableColumn id="5" xr3:uid="{00000000-0010-0000-0000-000005000000}" name="superuser"/>
    <tableColumn id="6" xr3:uid="{00000000-0010-0000-0000-000006000000}" name="role"/>
    <tableColumn id="7" xr3:uid="{00000000-0010-0000-0000-000007000000}" name="role_en" dataDxfId="5">
      <calculatedColumnFormula>_xlfn.TRANSLATE(Table_1[[#This Row],[role]],"es","en")</calculatedColumnFormula>
    </tableColumn>
    <tableColumn id="8" xr3:uid="{00000000-0010-0000-0000-000008000000}" name="organizations_text"/>
    <tableColumn id="9" xr3:uid="{00000000-0010-0000-0000-000009000000}" name="organizations_text_en" dataDxfId="4">
      <calculatedColumnFormula>_xlfn.TRANSLATE(Table_1[[#This Row],[organizations_text]],"es","en")</calculatedColumnFormula>
    </tableColumn>
    <tableColumn id="10" xr3:uid="{00000000-0010-0000-0000-00000A000000}" name="user_groups_text"/>
    <tableColumn id="11" xr3:uid="{00000000-0010-0000-0000-00000B000000}" name="user_groups_text_en" dataDxfId="3">
      <calculatedColumnFormula>_xlfn.TRANSLATE(Table_1[[#This Row],[user_groups_text]],"es","en")</calculatedColumnFormula>
    </tableColumn>
    <tableColumn id="12" xr3:uid="{00000000-0010-0000-0000-00000C000000}" name="interests_text"/>
    <tableColumn id="13" xr3:uid="{00000000-0010-0000-0000-00000D000000}" name="interests_text_en" dataDxfId="2">
      <calculatedColumnFormula>_xlfn.TRANSLATE(Table_1[[#This Row],[interests_text]],"es","en")</calculatedColumnFormula>
    </tableColumn>
    <tableColumn id="14" xr3:uid="{00000000-0010-0000-0000-00000E000000}" name="education_text"/>
    <tableColumn id="15" xr3:uid="{00000000-0010-0000-0000-00000F000000}" name="education_text_en" dataDxfId="1">
      <calculatedColumnFormula>_xlfn.TRANSLATE(Table_1[[#This Row],[education_text]],"es","en")</calculatedColumnFormula>
    </tableColumn>
    <tableColumn id="16" xr3:uid="{00000000-0010-0000-0000-000010000000}" name="bio"/>
    <tableColumn id="17" xr3:uid="{00000000-0010-0000-0000-000011000000}" name="bio_en" dataDxfId="0">
      <calculatedColumnFormula>_xlfn.TRANSLATE(Table_1[[#This Row],[bio]],"es","en")</calculatedColumnFormula>
    </tableColumn>
    <tableColumn id="19" xr3:uid="{00000000-0010-0000-0000-000013000000}" name="social_email"/>
    <tableColumn id="20" xr3:uid="{00000000-0010-0000-0000-000014000000}" name="social_github"/>
    <tableColumn id="21" xr3:uid="{00000000-0010-0000-0000-000015000000}" name="social_instagram"/>
    <tableColumn id="22" xr3:uid="{00000000-0010-0000-0000-000016000000}" name="social_linkedin"/>
    <tableColumn id="23" xr3:uid="{00000000-0010-0000-0000-000017000000}" name="social_x-twitter"/>
  </tableColumns>
  <tableStyleInfo name="TableStyleLight1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IbaiGutierrezPaez" TargetMode="External"/><Relationship Id="rId18" Type="http://schemas.openxmlformats.org/officeDocument/2006/relationships/hyperlink" Target="mailto:joaquinvegabenitez@gmail.com" TargetMode="External"/><Relationship Id="rId26" Type="http://schemas.openxmlformats.org/officeDocument/2006/relationships/hyperlink" Target="https://github.com/" TargetMode="External"/><Relationship Id="rId39" Type="http://schemas.openxmlformats.org/officeDocument/2006/relationships/hyperlink" Target="mailto:aj@uma.es" TargetMode="External"/><Relationship Id="rId21" Type="http://schemas.openxmlformats.org/officeDocument/2006/relationships/hyperlink" Target="https://github.com/Jackks27" TargetMode="External"/><Relationship Id="rId34" Type="http://schemas.openxmlformats.org/officeDocument/2006/relationships/hyperlink" Target="https://github.com/MiguelIIan" TargetMode="External"/><Relationship Id="rId42" Type="http://schemas.openxmlformats.org/officeDocument/2006/relationships/hyperlink" Target="https://github.com/" TargetMode="External"/><Relationship Id="rId47" Type="http://schemas.openxmlformats.org/officeDocument/2006/relationships/hyperlink" Target="mailto:yegor.bogomazov@gmail.com" TargetMode="External"/><Relationship Id="rId7" Type="http://schemas.openxmlformats.org/officeDocument/2006/relationships/hyperlink" Target="https://github.com/CarlosEmerito" TargetMode="External"/><Relationship Id="rId2" Type="http://schemas.openxmlformats.org/officeDocument/2006/relationships/hyperlink" Target="https://github.com/ajmunoz00" TargetMode="External"/><Relationship Id="rId16" Type="http://schemas.openxmlformats.org/officeDocument/2006/relationships/hyperlink" Target="mailto:jaguayo@uma.es" TargetMode="External"/><Relationship Id="rId29" Type="http://schemas.openxmlformats.org/officeDocument/2006/relationships/hyperlink" Target="mailto:mariogj.03@uma.es" TargetMode="External"/><Relationship Id="rId11" Type="http://schemas.openxmlformats.org/officeDocument/2006/relationships/hyperlink" Target="https://github.com/swaniman" TargetMode="External"/><Relationship Id="rId24" Type="http://schemas.openxmlformats.org/officeDocument/2006/relationships/hyperlink" Target="https://github.com/LauraFont1" TargetMode="External"/><Relationship Id="rId32" Type="http://schemas.openxmlformats.org/officeDocument/2006/relationships/hyperlink" Target="https://github.com/matias-luciano-hecker" TargetMode="External"/><Relationship Id="rId37" Type="http://schemas.openxmlformats.org/officeDocument/2006/relationships/hyperlink" Target="mailto:nilsmunoz@uma.es" TargetMode="External"/><Relationship Id="rId40" Type="http://schemas.openxmlformats.org/officeDocument/2006/relationships/hyperlink" Target="https://github.com/ajmunoz00" TargetMode="External"/><Relationship Id="rId45" Type="http://schemas.openxmlformats.org/officeDocument/2006/relationships/hyperlink" Target="mailto:salvapatricio@uma.es" TargetMode="External"/><Relationship Id="rId5" Type="http://schemas.openxmlformats.org/officeDocument/2006/relationships/hyperlink" Target="https://github.com/CarlaParra2" TargetMode="External"/><Relationship Id="rId15" Type="http://schemas.openxmlformats.org/officeDocument/2006/relationships/hyperlink" Target="https://github.com/TnTivanTnT" TargetMode="External"/><Relationship Id="rId23" Type="http://schemas.openxmlformats.org/officeDocument/2006/relationships/hyperlink" Target="mailto:laurafontluque@uma.es" TargetMode="External"/><Relationship Id="rId28" Type="http://schemas.openxmlformats.org/officeDocument/2006/relationships/hyperlink" Target="https://github.com/LuisEC0" TargetMode="External"/><Relationship Id="rId36" Type="http://schemas.openxmlformats.org/officeDocument/2006/relationships/hyperlink" Target="https://github.com/Nazarethlopez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mailto:evaroman@uma.es" TargetMode="External"/><Relationship Id="rId19" Type="http://schemas.openxmlformats.org/officeDocument/2006/relationships/hyperlink" Target="https://github.com/JoaquinVega2" TargetMode="External"/><Relationship Id="rId31" Type="http://schemas.openxmlformats.org/officeDocument/2006/relationships/hyperlink" Target="mailto:matiaslucianohecker@gmail.com" TargetMode="External"/><Relationship Id="rId44" Type="http://schemas.openxmlformats.org/officeDocument/2006/relationships/hyperlink" Target="https://github.com/Paulaa004" TargetMode="External"/><Relationship Id="rId4" Type="http://schemas.openxmlformats.org/officeDocument/2006/relationships/hyperlink" Target="mailto:carlaparragonzalez04@gmail.com" TargetMode="External"/><Relationship Id="rId9" Type="http://schemas.openxmlformats.org/officeDocument/2006/relationships/hyperlink" Target="https://github.com/DiegoCaruanaMontes" TargetMode="External"/><Relationship Id="rId14" Type="http://schemas.openxmlformats.org/officeDocument/2006/relationships/hyperlink" Target="mailto:ivanmorladag@gmail.com" TargetMode="External"/><Relationship Id="rId22" Type="http://schemas.openxmlformats.org/officeDocument/2006/relationships/hyperlink" Target="https://github.com/JuanLopezP" TargetMode="External"/><Relationship Id="rId27" Type="http://schemas.openxmlformats.org/officeDocument/2006/relationships/hyperlink" Target="mailto:luisesp@uma.es" TargetMode="External"/><Relationship Id="rId30" Type="http://schemas.openxmlformats.org/officeDocument/2006/relationships/hyperlink" Target="https://github.com/MarioGarciaJimenez" TargetMode="External"/><Relationship Id="rId35" Type="http://schemas.openxmlformats.org/officeDocument/2006/relationships/hyperlink" Target="mailto:nazalopez@uma.es" TargetMode="External"/><Relationship Id="rId43" Type="http://schemas.openxmlformats.org/officeDocument/2006/relationships/hyperlink" Target="mailto:ibaigutierrezpaez@uma.es" TargetMode="External"/><Relationship Id="rId48" Type="http://schemas.openxmlformats.org/officeDocument/2006/relationships/hyperlink" Target="https://github.com/YegorRad" TargetMode="External"/><Relationship Id="rId8" Type="http://schemas.openxmlformats.org/officeDocument/2006/relationships/hyperlink" Target="mailto:dcaruanamontes@uma.es" TargetMode="External"/><Relationship Id="rId3" Type="http://schemas.openxmlformats.org/officeDocument/2006/relationships/hyperlink" Target="mailto:angel.aguera@uma.es" TargetMode="External"/><Relationship Id="rId12" Type="http://schemas.openxmlformats.org/officeDocument/2006/relationships/hyperlink" Target="mailto:ibaigutierrezpaez@uma.es" TargetMode="External"/><Relationship Id="rId17" Type="http://schemas.openxmlformats.org/officeDocument/2006/relationships/hyperlink" Target="https://github.com/Jackks27" TargetMode="External"/><Relationship Id="rId25" Type="http://schemas.openxmlformats.org/officeDocument/2006/relationships/hyperlink" Target="mailto:0611089608@uma.es" TargetMode="External"/><Relationship Id="rId33" Type="http://schemas.openxmlformats.org/officeDocument/2006/relationships/hyperlink" Target="mailto:miguelian@uma.es" TargetMode="External"/><Relationship Id="rId38" Type="http://schemas.openxmlformats.org/officeDocument/2006/relationships/hyperlink" Target="https://github.com/NilsMunozReul" TargetMode="External"/><Relationship Id="rId46" Type="http://schemas.openxmlformats.org/officeDocument/2006/relationships/hyperlink" Target="https://github.com/SalvaPtrcio" TargetMode="External"/><Relationship Id="rId20" Type="http://schemas.openxmlformats.org/officeDocument/2006/relationships/hyperlink" Target="mailto:jaguayo@uma.es" TargetMode="External"/><Relationship Id="rId41" Type="http://schemas.openxmlformats.org/officeDocument/2006/relationships/hyperlink" Target="mailto:0611105362@uma.es" TargetMode="External"/><Relationship Id="rId1" Type="http://schemas.openxmlformats.org/officeDocument/2006/relationships/hyperlink" Target="mailto:aj@uma.es" TargetMode="External"/><Relationship Id="rId6" Type="http://schemas.openxmlformats.org/officeDocument/2006/relationships/hyperlink" Target="mailto:carlos09102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44"/>
  <sheetViews>
    <sheetView tabSelected="1" workbookViewId="0">
      <selection activeCell="B10" sqref="B10"/>
    </sheetView>
  </sheetViews>
  <sheetFormatPr defaultColWidth="14.42578125" defaultRowHeight="15" customHeight="1" x14ac:dyDescent="0.25"/>
  <cols>
    <col min="1" max="1" width="32.28515625" bestFit="1" customWidth="1"/>
    <col min="2" max="2" width="32.42578125" bestFit="1" customWidth="1"/>
    <col min="3" max="3" width="15.85546875" bestFit="1" customWidth="1"/>
    <col min="4" max="4" width="19" bestFit="1" customWidth="1"/>
    <col min="5" max="5" width="9.85546875" bestFit="1" customWidth="1"/>
    <col min="6" max="6" width="51.42578125" bestFit="1" customWidth="1"/>
    <col min="7" max="7" width="50.85546875" bestFit="1" customWidth="1"/>
    <col min="8" max="8" width="41.5703125" bestFit="1" customWidth="1"/>
    <col min="9" max="9" width="39.5703125" bestFit="1" customWidth="1"/>
    <col min="10" max="10" width="24" bestFit="1" customWidth="1"/>
    <col min="11" max="11" width="20" bestFit="1" customWidth="1"/>
    <col min="12" max="12" width="17.42578125" customWidth="1"/>
    <col min="13" max="13" width="16.85546875" bestFit="1" customWidth="1"/>
    <col min="14" max="14" width="15.140625" customWidth="1"/>
    <col min="15" max="15" width="18" bestFit="1" customWidth="1"/>
    <col min="16" max="16" width="5.42578125" customWidth="1"/>
    <col min="17" max="17" width="9.42578125" bestFit="1" customWidth="1"/>
    <col min="18" max="18" width="37.5703125" bestFit="1" customWidth="1"/>
    <col min="19" max="19" width="39.42578125" bestFit="1" customWidth="1"/>
    <col min="20" max="20" width="86.85546875" bestFit="1" customWidth="1"/>
    <col min="21" max="21" width="166.85546875" bestFit="1" customWidth="1"/>
    <col min="22" max="22" width="33" bestFit="1" customWidth="1"/>
  </cols>
  <sheetData>
    <row r="1" spans="1:22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8.75" customHeight="1" x14ac:dyDescent="0.25">
      <c r="A2" t="s">
        <v>22</v>
      </c>
      <c r="B2" t="s">
        <v>23</v>
      </c>
      <c r="C2" t="s">
        <v>24</v>
      </c>
      <c r="D2" t="s">
        <v>25</v>
      </c>
      <c r="E2" t="b">
        <v>1</v>
      </c>
      <c r="F2" t="s">
        <v>26</v>
      </c>
      <c r="G2" t="str">
        <f>_xlfn.TRANSLATE(Table_1[[#This Row],[role]],"es","en")</f>
        <v>Coordinator</v>
      </c>
      <c r="H2" t="s">
        <v>27</v>
      </c>
      <c r="I2" t="str">
        <f>_xlfn.TRANSLATE(Table_1[[#This Row],[organizations_text]],"es","en")</f>
        <v>University of Malaga (http://www.uma.es)</v>
      </c>
      <c r="J2" t="s">
        <v>28</v>
      </c>
      <c r="K2" t="str">
        <f>_xlfn.TRANSLATE(Table_1[[#This Row],[user_groups_text]],"es","en")</f>
        <v>Coordinators</v>
      </c>
      <c r="L2" t="s">
        <v>29</v>
      </c>
      <c r="M2" t="str">
        <f>_xlfn.TRANSLATE(Table_1[[#This Row],[interests_text]],"es","en")</f>
        <v>Robot Control, Artificial Intelligence, Simulink Robot Design and Programming</v>
      </c>
      <c r="N2" t="s">
        <v>30</v>
      </c>
      <c r="O2" t="str">
        <f>_xlfn.TRANSLATE(Table_1[[#This Row],[education_text]],"es","en")</f>
        <v>Bachelor's Degree in Computer Science - University of Malaga (2000)</v>
      </c>
      <c r="P2" t="s">
        <v>31</v>
      </c>
      <c r="Q2" t="str">
        <f>_xlfn.TRANSLATE(Table_1[[#This Row],[bio]],"es","en")</f>
        <v>My interests include rescue robotics, automation, and programming with Matlab Simulink.</v>
      </c>
      <c r="R2" t="s">
        <v>32</v>
      </c>
      <c r="S2" t="s">
        <v>33</v>
      </c>
      <c r="T2" t="s">
        <v>34</v>
      </c>
      <c r="U2" t="s">
        <v>34</v>
      </c>
      <c r="V2" t="s">
        <v>35</v>
      </c>
    </row>
    <row r="3" spans="1:22" ht="18.75" customHeight="1" x14ac:dyDescent="0.25">
      <c r="A3" t="s">
        <v>36</v>
      </c>
      <c r="B3" t="s">
        <v>37</v>
      </c>
      <c r="E3" t="b">
        <v>0</v>
      </c>
      <c r="F3" t="s">
        <v>38</v>
      </c>
      <c r="G3" t="str">
        <f>_xlfn.TRANSLATE(Table_1[[#This Row],[role]],"es","en")</f>
        <v>Department of Electronic Technology</v>
      </c>
      <c r="I3" t="str">
        <f>_xlfn.TRANSLATE(Table_1[[#This Row],[organizations_text]],"es","en")</f>
        <v/>
      </c>
      <c r="J3" t="s">
        <v>39</v>
      </c>
      <c r="K3" t="str">
        <f>_xlfn.TRANSLATE(Table_1[[#This Row],[user_groups_text]],"es","en")</f>
        <v>Collaborating professors</v>
      </c>
      <c r="M3" t="str">
        <f>_xlfn.TRANSLATE(Table_1[[#This Row],[interests_text]],"es","en")</f>
        <v/>
      </c>
      <c r="O3" t="str">
        <f>_xlfn.TRANSLATE(Table_1[[#This Row],[education_text]],"es","en")</f>
        <v/>
      </c>
      <c r="Q3" t="str">
        <f>_xlfn.TRANSLATE(Table_1[[#This Row],[bio]],"es","en")</f>
        <v/>
      </c>
    </row>
    <row r="4" spans="1:22" ht="18.75" customHeight="1" x14ac:dyDescent="0.25">
      <c r="A4" t="s">
        <v>40</v>
      </c>
      <c r="B4" t="s">
        <v>41</v>
      </c>
      <c r="C4" t="s">
        <v>42</v>
      </c>
      <c r="D4" t="s">
        <v>43</v>
      </c>
      <c r="E4" t="b">
        <v>0</v>
      </c>
      <c r="F4" t="s">
        <v>44</v>
      </c>
      <c r="G4" t="str">
        <f>_xlfn.TRANSLATE(Table_1[[#This Row],[role]],"es","en")</f>
        <v>Hardware Engineer</v>
      </c>
      <c r="H4" t="s">
        <v>27</v>
      </c>
      <c r="I4" t="str">
        <f>_xlfn.TRANSLATE(Table_1[[#This Row],[organizations_text]],"es","en")</f>
        <v>University of Malaga (http://www.uma.es)</v>
      </c>
      <c r="J4" t="s">
        <v>45</v>
      </c>
      <c r="K4" t="str">
        <f>_xlfn.TRANSLATE(Table_1[[#This Row],[user_groups_text]],"es","en")</f>
        <v>Hardware</v>
      </c>
      <c r="L4" t="s">
        <v>46</v>
      </c>
      <c r="M4" t="str">
        <f>_xlfn.TRANSLATE(Table_1[[#This Row],[interests_text]],"es","en")</f>
        <v>3D Design, 3D Printing, Robot Design and Programming, PLC Automation</v>
      </c>
      <c r="N4" t="s">
        <v>47</v>
      </c>
      <c r="O4" t="str">
        <f>_xlfn.TRANSLATE(Table_1[[#This Row],[education_text]],"es","en")</f>
        <v>Technician in Electrotechnical and Automated Systems - I.E.S Al-Baytar (2023); Industrial Electronic Engineering Student - University of Malaga (2023-x)</v>
      </c>
      <c r="P4" t="s">
        <v>48</v>
      </c>
      <c r="Q4" t="str">
        <f>_xlfn.TRANSLATE(Table_1[[#This Row],[bio]],"es","en")</f>
        <v>My interests include robotics, automation, and programming with Matlab Simulink.</v>
      </c>
      <c r="R4" t="s">
        <v>49</v>
      </c>
    </row>
    <row r="5" spans="1:22" ht="18.75" customHeight="1" x14ac:dyDescent="0.25">
      <c r="A5" t="s">
        <v>50</v>
      </c>
      <c r="B5" t="s">
        <v>51</v>
      </c>
      <c r="E5" t="b">
        <v>0</v>
      </c>
      <c r="G5" t="str">
        <f>_xlfn.TRANSLATE(Table_1[[#This Row],[role]],"es","en")</f>
        <v/>
      </c>
      <c r="I5" t="str">
        <f>_xlfn.TRANSLATE(Table_1[[#This Row],[organizations_text]],"es","en")</f>
        <v/>
      </c>
      <c r="J5" t="s">
        <v>52</v>
      </c>
      <c r="K5" t="str">
        <f>_xlfn.TRANSLATE(Table_1[[#This Row],[user_groups_text]],"es","en")</f>
        <v>Former members</v>
      </c>
      <c r="M5" t="str">
        <f>_xlfn.TRANSLATE(Table_1[[#This Row],[interests_text]],"es","en")</f>
        <v/>
      </c>
      <c r="O5" t="str">
        <f>_xlfn.TRANSLATE(Table_1[[#This Row],[education_text]],"es","en")</f>
        <v/>
      </c>
      <c r="Q5" t="str">
        <f>_xlfn.TRANSLATE(Table_1[[#This Row],[bio]],"es","en")</f>
        <v/>
      </c>
    </row>
    <row r="6" spans="1:22" ht="18.75" customHeight="1" x14ac:dyDescent="0.25">
      <c r="A6" t="s">
        <v>53</v>
      </c>
      <c r="B6" t="s">
        <v>54</v>
      </c>
      <c r="C6" t="s">
        <v>55</v>
      </c>
      <c r="D6" t="s">
        <v>56</v>
      </c>
      <c r="E6" t="b">
        <v>0</v>
      </c>
      <c r="F6" t="s">
        <v>57</v>
      </c>
      <c r="G6" t="str">
        <f>_xlfn.TRANSLATE(Table_1[[#This Row],[role]],"es","en")</f>
        <v>Marketing Department</v>
      </c>
      <c r="H6" t="s">
        <v>27</v>
      </c>
      <c r="I6" t="str">
        <f>_xlfn.TRANSLATE(Table_1[[#This Row],[organizations_text]],"es","en")</f>
        <v>University of Malaga (http://www.uma.es)</v>
      </c>
      <c r="J6" t="s">
        <v>58</v>
      </c>
      <c r="K6" t="str">
        <f>_xlfn.TRANSLATE(Table_1[[#This Row],[user_groups_text]],"es","en")</f>
        <v>Marketing</v>
      </c>
      <c r="L6" t="s">
        <v>59</v>
      </c>
      <c r="M6" t="str">
        <f>_xlfn.TRANSLATE(Table_1[[#This Row],[interests_text]],"es","en")</f>
        <v>Copywriting., Brand Development.</v>
      </c>
      <c r="N6" t="s">
        <v>60</v>
      </c>
      <c r="O6" t="str">
        <f>_xlfn.TRANSLATE(Table_1[[#This Row],[education_text]],"es","en")</f>
        <v>3rd year Marketing and Market Research student - University of Malaga (2022)</v>
      </c>
      <c r="P6" t="s">
        <v>61</v>
      </c>
      <c r="Q6" t="str">
        <f>_xlfn.TRANSLATE(Table_1[[#This Row],[bio]],"es","en")</f>
        <v>Interested in copywriting and brand development.</v>
      </c>
      <c r="R6" t="s">
        <v>62</v>
      </c>
      <c r="S6" t="s">
        <v>63</v>
      </c>
      <c r="T6" t="s">
        <v>64</v>
      </c>
      <c r="U6" t="s">
        <v>65</v>
      </c>
    </row>
    <row r="7" spans="1:22" ht="18.75" customHeight="1" x14ac:dyDescent="0.25">
      <c r="A7" t="s">
        <v>66</v>
      </c>
      <c r="B7" t="s">
        <v>67</v>
      </c>
      <c r="C7" t="s">
        <v>68</v>
      </c>
      <c r="D7" t="s">
        <v>69</v>
      </c>
      <c r="E7" t="b">
        <v>0</v>
      </c>
      <c r="F7" t="s">
        <v>70</v>
      </c>
      <c r="G7" t="str">
        <f>_xlfn.TRANSLATE(Table_1[[#This Row],[role]],"es","en")</f>
        <v>Software Engineer</v>
      </c>
      <c r="H7" t="s">
        <v>27</v>
      </c>
      <c r="I7" t="str">
        <f>_xlfn.TRANSLATE(Table_1[[#This Row],[organizations_text]],"es","en")</f>
        <v>University of Malaga (http://www.uma.es)</v>
      </c>
      <c r="J7" t="s">
        <v>71</v>
      </c>
      <c r="K7" t="str">
        <f>_xlfn.TRANSLATE(Table_1[[#This Row],[user_groups_text]],"es","en")</f>
        <v>Software</v>
      </c>
      <c r="L7" t="s">
        <v>72</v>
      </c>
      <c r="M7" t="str">
        <f>_xlfn.TRANSLATE(Table_1[[#This Row],[interests_text]],"es","en")</f>
        <v>Artificial Intelligence., Electronics., 3D Design.</v>
      </c>
      <c r="N7" t="s">
        <v>73</v>
      </c>
      <c r="O7" t="str">
        <f>_xlfn.TRANSLATE(Table_1[[#This Row],[education_text]],"es","en")</f>
        <v>1st year student of Computer Engineering - University of Malaga (2024)</v>
      </c>
      <c r="P7" t="s">
        <v>74</v>
      </c>
      <c r="Q7" t="str">
        <f>_xlfn.TRANSLATE(Table_1[[#This Row],[bio]],"es","en")</f>
        <v>Especially interested in Artificial Intelligence among others.</v>
      </c>
      <c r="R7" t="s">
        <v>75</v>
      </c>
      <c r="S7" t="s">
        <v>76</v>
      </c>
      <c r="T7" t="s">
        <v>77</v>
      </c>
      <c r="U7" t="s">
        <v>78</v>
      </c>
    </row>
    <row r="8" spans="1:22" ht="18.75" customHeight="1" x14ac:dyDescent="0.25">
      <c r="A8" t="s">
        <v>79</v>
      </c>
      <c r="B8" t="s">
        <v>80</v>
      </c>
      <c r="C8" t="s">
        <v>81</v>
      </c>
      <c r="D8" t="s">
        <v>82</v>
      </c>
      <c r="E8" t="b">
        <v>0</v>
      </c>
      <c r="F8" t="s">
        <v>83</v>
      </c>
      <c r="G8" t="str">
        <f>_xlfn.TRANSLATE(Table_1[[#This Row],[role]],"es","en")</f>
        <v>Co-leader Software</v>
      </c>
      <c r="H8" t="s">
        <v>27</v>
      </c>
      <c r="I8" t="str">
        <f>_xlfn.TRANSLATE(Table_1[[#This Row],[organizations_text]],"es","en")</f>
        <v>University of Malaga (http://www.uma.es)</v>
      </c>
      <c r="J8" t="s">
        <v>84</v>
      </c>
      <c r="K8" t="str">
        <f>_xlfn.TRANSLATE(Table_1[[#This Row],[user_groups_text]],"es","en")</f>
        <v>Mentors</v>
      </c>
      <c r="L8" t="s">
        <v>85</v>
      </c>
      <c r="M8" t="str">
        <f>_xlfn.TRANSLATE(Table_1[[#This Row],[interests_text]],"es","en")</f>
        <v>Robotics, Electronics, Artificial Intelligence, Scientific Research</v>
      </c>
      <c r="N8" t="s">
        <v>86</v>
      </c>
      <c r="O8" t="str">
        <f>_xlfn.TRANSLATE(Table_1[[#This Row],[education_text]],"es","en")</f>
        <v>Bachelor's Degree in Electronic Engineering, Robotics and Mechatronics - University of Malaga (2025)</v>
      </c>
      <c r="P8" t="s">
        <v>87</v>
      </c>
      <c r="Q8" t="str">
        <f>_xlfn.TRANSLATE(Table_1[[#This Row],[bio]],"es","en")</f>
        <v>I like to research and learn how things work. I am interested in robotics, artificial intelligence, electronics, physics and mathematics.</v>
      </c>
      <c r="R8" t="s">
        <v>88</v>
      </c>
      <c r="S8" t="s">
        <v>89</v>
      </c>
      <c r="U8" t="s">
        <v>90</v>
      </c>
    </row>
    <row r="9" spans="1:22" ht="18.75" customHeight="1" x14ac:dyDescent="0.25">
      <c r="A9" t="s">
        <v>91</v>
      </c>
      <c r="B9" t="s">
        <v>92</v>
      </c>
      <c r="E9" t="b">
        <v>0</v>
      </c>
      <c r="F9" t="s">
        <v>93</v>
      </c>
      <c r="G9" t="str">
        <f>_xlfn.TRANSLATE(Table_1[[#This Row],[role]],"es","en")</f>
        <v>Department of Graphic Expression, Design and Projects</v>
      </c>
      <c r="I9" t="str">
        <f>_xlfn.TRANSLATE(Table_1[[#This Row],[organizations_text]],"es","en")</f>
        <v/>
      </c>
      <c r="J9" t="s">
        <v>39</v>
      </c>
      <c r="K9" t="str">
        <f>_xlfn.TRANSLATE(Table_1[[#This Row],[user_groups_text]],"es","en")</f>
        <v>Collaborating professors</v>
      </c>
      <c r="M9" t="str">
        <f>_xlfn.TRANSLATE(Table_1[[#This Row],[interests_text]],"es","en")</f>
        <v/>
      </c>
      <c r="O9" t="str">
        <f>_xlfn.TRANSLATE(Table_1[[#This Row],[education_text]],"es","en")</f>
        <v/>
      </c>
      <c r="Q9" t="str">
        <f>_xlfn.TRANSLATE(Table_1[[#This Row],[bio]],"es","en")</f>
        <v/>
      </c>
    </row>
    <row r="10" spans="1:22" ht="18.75" customHeight="1" x14ac:dyDescent="0.25">
      <c r="A10" t="s">
        <v>94</v>
      </c>
      <c r="B10" t="s">
        <v>95</v>
      </c>
      <c r="C10" t="s">
        <v>96</v>
      </c>
      <c r="D10" t="s">
        <v>97</v>
      </c>
      <c r="E10" t="b">
        <v>1</v>
      </c>
      <c r="F10" t="s">
        <v>98</v>
      </c>
      <c r="G10" t="str">
        <f>_xlfn.TRANSLATE(Table_1[[#This Row],[role]],"es","en")</f>
        <v>Head of Marketing</v>
      </c>
      <c r="H10" t="s">
        <v>27</v>
      </c>
      <c r="I10" t="str">
        <f>_xlfn.TRANSLATE(Table_1[[#This Row],[organizations_text]],"es","en")</f>
        <v>University of Malaga (http://www.uma.es)</v>
      </c>
      <c r="J10" t="s">
        <v>99</v>
      </c>
      <c r="K10" t="str">
        <f>_xlfn.TRANSLATE(Table_1[[#This Row],[user_groups_text]],"es","en")</f>
        <v>Heads of Department</v>
      </c>
      <c r="L10" t="s">
        <v>100</v>
      </c>
      <c r="M10" t="str">
        <f>_xlfn.TRANSLATE(Table_1[[#This Row],[interests_text]],"es","en")</f>
        <v>NeuroMarketing, BigData, Market Research and Consumer Behavior</v>
      </c>
      <c r="N10" t="s">
        <v>101</v>
      </c>
      <c r="O10" t="str">
        <f>_xlfn.TRANSLATE(Table_1[[#This Row],[education_text]],"es","en")</f>
        <v>Marketing and Market Research - University of Malaga (2024 (3rd))</v>
      </c>
      <c r="P10" t="s">
        <v>102</v>
      </c>
      <c r="Q10" t="str">
        <f>_xlfn.TRANSLATE(Table_1[[#This Row],[bio]],"es","en")</f>
        <v>My interests are photography, reading and design.</v>
      </c>
      <c r="R10" t="s">
        <v>103</v>
      </c>
      <c r="S10" t="s">
        <v>104</v>
      </c>
      <c r="T10" t="s">
        <v>34</v>
      </c>
      <c r="U10" t="s">
        <v>105</v>
      </c>
      <c r="V10" t="s">
        <v>35</v>
      </c>
    </row>
    <row r="11" spans="1:22" ht="18.75" customHeight="1" x14ac:dyDescent="0.25">
      <c r="A11" t="s">
        <v>106</v>
      </c>
      <c r="B11" t="s">
        <v>107</v>
      </c>
      <c r="C11" t="s">
        <v>108</v>
      </c>
      <c r="D11" t="s">
        <v>109</v>
      </c>
      <c r="E11" t="b">
        <v>0</v>
      </c>
      <c r="F11" t="s">
        <v>70</v>
      </c>
      <c r="G11" t="str">
        <f>_xlfn.TRANSLATE(Table_1[[#This Row],[role]],"es","en")</f>
        <v>Software Engineer</v>
      </c>
      <c r="H11" t="s">
        <v>27</v>
      </c>
      <c r="I11" t="str">
        <f>_xlfn.TRANSLATE(Table_1[[#This Row],[organizations_text]],"es","en")</f>
        <v>University of Malaga (http://www.uma.es)</v>
      </c>
      <c r="J11" t="s">
        <v>71</v>
      </c>
      <c r="K11" t="str">
        <f>_xlfn.TRANSLATE(Table_1[[#This Row],[user_groups_text]],"es","en")</f>
        <v>Software</v>
      </c>
      <c r="L11" t="s">
        <v>110</v>
      </c>
      <c r="M11" t="str">
        <f>_xlfn.TRANSLATE(Table_1[[#This Row],[interests_text]],"es","en")</f>
        <v>Robot Control., Autonomous Robots., Renewable Energy.</v>
      </c>
      <c r="N11" t="s">
        <v>111</v>
      </c>
      <c r="O11" t="str">
        <f>_xlfn.TRANSLATE(Table_1[[#This Row],[education_text]],"es","en")</f>
        <v>2nd year student of Electronics, Robotics and Mechatronics Engineering - University of Malaga (2023)</v>
      </c>
      <c r="P11" t="s">
        <v>112</v>
      </c>
      <c r="Q11" t="str">
        <f>_xlfn.TRANSLATE(Table_1[[#This Row],[bio]],"es","en")</f>
        <v>Interested in Robotics, especially in the development of autonomous robots.</v>
      </c>
      <c r="R11" t="s">
        <v>113</v>
      </c>
      <c r="S11" t="s">
        <v>114</v>
      </c>
      <c r="T11" t="s">
        <v>115</v>
      </c>
      <c r="U11" t="s">
        <v>116</v>
      </c>
    </row>
    <row r="12" spans="1:22" ht="18.75" customHeight="1" x14ac:dyDescent="0.25">
      <c r="A12" t="s">
        <v>117</v>
      </c>
      <c r="B12" t="s">
        <v>118</v>
      </c>
      <c r="E12" t="b">
        <v>0</v>
      </c>
      <c r="F12" t="s">
        <v>119</v>
      </c>
      <c r="G12" t="str">
        <f>_xlfn.TRANSLATE(Table_1[[#This Row],[role]],"es","en")</f>
        <v>Department of Electrical Engineering</v>
      </c>
      <c r="I12" t="str">
        <f>_xlfn.TRANSLATE(Table_1[[#This Row],[organizations_text]],"es","en")</f>
        <v/>
      </c>
      <c r="J12" t="s">
        <v>39</v>
      </c>
      <c r="K12" t="str">
        <f>_xlfn.TRANSLATE(Table_1[[#This Row],[user_groups_text]],"es","en")</f>
        <v>Collaborating professors</v>
      </c>
      <c r="M12" t="str">
        <f>_xlfn.TRANSLATE(Table_1[[#This Row],[interests_text]],"es","en")</f>
        <v/>
      </c>
      <c r="O12" t="str">
        <f>_xlfn.TRANSLATE(Table_1[[#This Row],[education_text]],"es","en")</f>
        <v/>
      </c>
      <c r="Q12" t="str">
        <f>_xlfn.TRANSLATE(Table_1[[#This Row],[bio]],"es","en")</f>
        <v/>
      </c>
    </row>
    <row r="13" spans="1:22" ht="18.75" customHeight="1" x14ac:dyDescent="0.25">
      <c r="A13" t="s">
        <v>120</v>
      </c>
      <c r="B13" t="s">
        <v>121</v>
      </c>
      <c r="C13" t="s">
        <v>122</v>
      </c>
      <c r="D13" t="s">
        <v>123</v>
      </c>
      <c r="E13" t="b">
        <v>0</v>
      </c>
      <c r="F13" t="s">
        <v>70</v>
      </c>
      <c r="G13" t="str">
        <f>_xlfn.TRANSLATE(Table_1[[#This Row],[role]],"es","en")</f>
        <v>Software Engineer</v>
      </c>
      <c r="H13" t="s">
        <v>27</v>
      </c>
      <c r="I13" t="str">
        <f>_xlfn.TRANSLATE(Table_1[[#This Row],[organizations_text]],"es","en")</f>
        <v>University of Malaga (http://www.uma.es)</v>
      </c>
      <c r="J13" t="s">
        <v>71</v>
      </c>
      <c r="K13" t="str">
        <f>_xlfn.TRANSLATE(Table_1[[#This Row],[user_groups_text]],"es","en")</f>
        <v>Software</v>
      </c>
      <c r="L13" t="s">
        <v>124</v>
      </c>
      <c r="M13" t="str">
        <f>_xlfn.TRANSLATE(Table_1[[#This Row],[interests_text]],"es","en")</f>
        <v>Quantum computing, Artificial Intelligence, Robotics.</v>
      </c>
      <c r="N13" t="s">
        <v>125</v>
      </c>
      <c r="O13" t="str">
        <f>_xlfn.TRANSLATE(Table_1[[#This Row],[education_text]],"es","en")</f>
        <v>3rd year student of Electronics, Robotics and Mechatronics Engineering - University of Malaga (2023)</v>
      </c>
      <c r="P13" t="s">
        <v>126</v>
      </c>
      <c r="Q13" t="str">
        <f>_xlfn.TRANSLATE(Table_1[[#This Row],[bio]],"es","en")</f>
        <v>Interested in Robotics, quantum computing and AI.</v>
      </c>
      <c r="R13" t="s">
        <v>127</v>
      </c>
      <c r="S13" t="s">
        <v>128</v>
      </c>
      <c r="U13" t="s">
        <v>129</v>
      </c>
    </row>
    <row r="14" spans="1:22" ht="18.75" customHeight="1" x14ac:dyDescent="0.25">
      <c r="A14" t="s">
        <v>130</v>
      </c>
      <c r="B14" t="s">
        <v>131</v>
      </c>
      <c r="C14" t="s">
        <v>132</v>
      </c>
      <c r="D14" t="s">
        <v>133</v>
      </c>
      <c r="E14" t="b">
        <v>1</v>
      </c>
      <c r="F14" t="s">
        <v>134</v>
      </c>
      <c r="G14" t="str">
        <f>_xlfn.TRANSLATE(Table_1[[#This Row],[role]],"es","en")</f>
        <v>Head of Hardware</v>
      </c>
      <c r="H14" t="s">
        <v>27</v>
      </c>
      <c r="I14" t="str">
        <f>_xlfn.TRANSLATE(Table_1[[#This Row],[organizations_text]],"es","en")</f>
        <v>University of Malaga (http://www.uma.es)</v>
      </c>
      <c r="J14" t="s">
        <v>135</v>
      </c>
      <c r="K14" t="str">
        <f>_xlfn.TRANSLATE(Table_1[[#This Row],[user_groups_text]],"es","en")</f>
        <v>Team Leaders</v>
      </c>
      <c r="L14" t="s">
        <v>136</v>
      </c>
      <c r="M14" t="str">
        <f>_xlfn.TRANSLATE(Table_1[[#This Row],[interests_text]],"es","en")</f>
        <v>Graphic Design, Robot Design and Programming, PLC Automation</v>
      </c>
      <c r="N14" t="s">
        <v>137</v>
      </c>
      <c r="O14" t="str">
        <f>_xlfn.TRANSLATE(Table_1[[#This Row],[education_text]],"es","en")</f>
        <v>Technician in Automation and Industrial Robotics - Colegio Concertado San José (2023); Industrial Electronic Engineering Student - University of Malaga (2023-x)</v>
      </c>
      <c r="P14" t="s">
        <v>48</v>
      </c>
      <c r="Q14" t="str">
        <f>_xlfn.TRANSLATE(Table_1[[#This Row],[bio]],"es","en")</f>
        <v>My interests include robotics, automation, and programming with Matlab Simulink.</v>
      </c>
      <c r="R14" t="s">
        <v>138</v>
      </c>
      <c r="S14" t="s">
        <v>139</v>
      </c>
      <c r="T14" t="s">
        <v>140</v>
      </c>
      <c r="U14" t="s">
        <v>141</v>
      </c>
      <c r="V14" t="s">
        <v>142</v>
      </c>
    </row>
    <row r="15" spans="1:22" ht="18.75" customHeight="1" x14ac:dyDescent="0.25">
      <c r="A15" t="s">
        <v>143</v>
      </c>
      <c r="B15" t="s">
        <v>144</v>
      </c>
      <c r="E15" t="b">
        <v>0</v>
      </c>
      <c r="F15" t="s">
        <v>145</v>
      </c>
      <c r="G15" t="str">
        <f>_xlfn.TRANSLATE(Table_1[[#This Row],[role]],"es","en")</f>
        <v>Department of Systems Engineering and Automation</v>
      </c>
      <c r="I15" t="str">
        <f>_xlfn.TRANSLATE(Table_1[[#This Row],[organizations_text]],"es","en")</f>
        <v/>
      </c>
      <c r="J15" t="s">
        <v>39</v>
      </c>
      <c r="K15" t="str">
        <f>_xlfn.TRANSLATE(Table_1[[#This Row],[user_groups_text]],"es","en")</f>
        <v>Collaborating professors</v>
      </c>
      <c r="M15" t="str">
        <f>_xlfn.TRANSLATE(Table_1[[#This Row],[interests_text]],"es","en")</f>
        <v/>
      </c>
      <c r="O15" t="str">
        <f>_xlfn.TRANSLATE(Table_1[[#This Row],[education_text]],"es","en")</f>
        <v/>
      </c>
      <c r="Q15" t="str">
        <f>_xlfn.TRANSLATE(Table_1[[#This Row],[bio]],"es","en")</f>
        <v/>
      </c>
    </row>
    <row r="16" spans="1:22" ht="18.75" customHeight="1" x14ac:dyDescent="0.25">
      <c r="A16" t="s">
        <v>146</v>
      </c>
      <c r="B16" t="s">
        <v>147</v>
      </c>
      <c r="C16" t="s">
        <v>148</v>
      </c>
      <c r="D16" t="s">
        <v>149</v>
      </c>
      <c r="E16" t="b">
        <v>0</v>
      </c>
      <c r="F16" t="s">
        <v>70</v>
      </c>
      <c r="G16" t="str">
        <f>_xlfn.TRANSLATE(Table_1[[#This Row],[role]],"es","en")</f>
        <v>Software Engineer</v>
      </c>
      <c r="H16" t="s">
        <v>27</v>
      </c>
      <c r="I16" t="str">
        <f>_xlfn.TRANSLATE(Table_1[[#This Row],[organizations_text]],"es","en")</f>
        <v>University of Malaga (http://www.uma.es)</v>
      </c>
      <c r="J16" t="s">
        <v>71</v>
      </c>
      <c r="K16" t="str">
        <f>_xlfn.TRANSLATE(Table_1[[#This Row],[user_groups_text]],"es","en")</f>
        <v>Software</v>
      </c>
      <c r="L16" t="s">
        <v>150</v>
      </c>
      <c r="M16" t="str">
        <f>_xlfn.TRANSLATE(Table_1[[#This Row],[interests_text]],"es","en")</f>
        <v>Robot Design and Programming, PLC Programming, Process Control.</v>
      </c>
      <c r="N16" t="s">
        <v>151</v>
      </c>
      <c r="O16" t="str">
        <f>_xlfn.TRANSLATE(Table_1[[#This Row],[education_text]],"es","en")</f>
        <v>4th year student of Electronics, Robotics and Mechatronics Engineering - University of Malaga (2020)</v>
      </c>
      <c r="P16" t="s">
        <v>152</v>
      </c>
      <c r="Q16" t="str">
        <f>_xlfn.TRANSLATE(Table_1[[#This Row],[bio]],"es","en")</f>
        <v>Interested in Robotics, especially in design and programming.</v>
      </c>
      <c r="R16" t="s">
        <v>153</v>
      </c>
      <c r="S16" t="s">
        <v>154</v>
      </c>
      <c r="U16" t="s">
        <v>155</v>
      </c>
    </row>
    <row r="17" spans="1:22" ht="18.75" customHeight="1" x14ac:dyDescent="0.25">
      <c r="A17" t="s">
        <v>156</v>
      </c>
      <c r="B17" t="s">
        <v>157</v>
      </c>
      <c r="E17" t="b">
        <v>0</v>
      </c>
      <c r="F17" t="s">
        <v>158</v>
      </c>
      <c r="G17" t="str">
        <f>_xlfn.TRANSLATE(Table_1[[#This Row],[role]],"es","en")</f>
        <v>Department of Electronics</v>
      </c>
      <c r="I17" t="str">
        <f>_xlfn.TRANSLATE(Table_1[[#This Row],[organizations_text]],"es","en")</f>
        <v/>
      </c>
      <c r="J17" t="s">
        <v>39</v>
      </c>
      <c r="K17" t="str">
        <f>_xlfn.TRANSLATE(Table_1[[#This Row],[user_groups_text]],"es","en")</f>
        <v>Collaborating professors</v>
      </c>
      <c r="M17" t="str">
        <f>_xlfn.TRANSLATE(Table_1[[#This Row],[interests_text]],"es","en")</f>
        <v/>
      </c>
      <c r="O17" t="str">
        <f>_xlfn.TRANSLATE(Table_1[[#This Row],[education_text]],"es","en")</f>
        <v/>
      </c>
      <c r="Q17" t="str">
        <f>_xlfn.TRANSLATE(Table_1[[#This Row],[bio]],"es","en")</f>
        <v/>
      </c>
    </row>
    <row r="18" spans="1:22" ht="18.75" customHeight="1" x14ac:dyDescent="0.25">
      <c r="A18" t="s">
        <v>159</v>
      </c>
      <c r="B18" t="s">
        <v>160</v>
      </c>
      <c r="C18" t="s">
        <v>42</v>
      </c>
      <c r="D18" t="s">
        <v>43</v>
      </c>
      <c r="E18" t="b">
        <v>0</v>
      </c>
      <c r="F18" t="s">
        <v>44</v>
      </c>
      <c r="G18" t="str">
        <f>_xlfn.TRANSLATE(Table_1[[#This Row],[role]],"es","en")</f>
        <v>Hardware Engineer</v>
      </c>
      <c r="H18" t="s">
        <v>27</v>
      </c>
      <c r="I18" t="str">
        <f>_xlfn.TRANSLATE(Table_1[[#This Row],[organizations_text]],"es","en")</f>
        <v>University of Malaga (http://www.uma.es)</v>
      </c>
      <c r="J18" t="s">
        <v>45</v>
      </c>
      <c r="K18" t="str">
        <f>_xlfn.TRANSLATE(Table_1[[#This Row],[user_groups_text]],"es","en")</f>
        <v>Hardware</v>
      </c>
      <c r="L18" t="s">
        <v>136</v>
      </c>
      <c r="M18" t="str">
        <f>_xlfn.TRANSLATE(Table_1[[#This Row],[interests_text]],"es","en")</f>
        <v>Graphic Design, Robot Design and Programming, PLC Automation</v>
      </c>
      <c r="N18" t="s">
        <v>137</v>
      </c>
      <c r="O18" t="str">
        <f>_xlfn.TRANSLATE(Table_1[[#This Row],[education_text]],"es","en")</f>
        <v>Technician in Automation and Industrial Robotics - Colegio Concertado San José (2023); Industrial Electronic Engineering Student - University of Malaga (2023-x)</v>
      </c>
      <c r="P18" t="s">
        <v>48</v>
      </c>
      <c r="Q18" t="str">
        <f>_xlfn.TRANSLATE(Table_1[[#This Row],[bio]],"es","en")</f>
        <v>My interests include robotics, automation, and programming with Matlab Simulink.</v>
      </c>
      <c r="R18" t="s">
        <v>138</v>
      </c>
      <c r="S18" t="s">
        <v>139</v>
      </c>
      <c r="T18" t="s">
        <v>140</v>
      </c>
      <c r="U18" t="s">
        <v>141</v>
      </c>
      <c r="V18" t="s">
        <v>142</v>
      </c>
    </row>
    <row r="19" spans="1:22" ht="18.75" customHeight="1" x14ac:dyDescent="0.25">
      <c r="A19" t="s">
        <v>161</v>
      </c>
      <c r="B19" t="s">
        <v>162</v>
      </c>
      <c r="C19" t="s">
        <v>163</v>
      </c>
      <c r="D19" t="s">
        <v>164</v>
      </c>
      <c r="E19" t="b">
        <v>1</v>
      </c>
      <c r="F19" t="s">
        <v>26</v>
      </c>
      <c r="G19" t="str">
        <f>_xlfn.TRANSLATE(Table_1[[#This Row],[role]],"es","en")</f>
        <v>Coordinator</v>
      </c>
      <c r="H19" t="s">
        <v>27</v>
      </c>
      <c r="I19" t="str">
        <f>_xlfn.TRANSLATE(Table_1[[#This Row],[organizations_text]],"es","en")</f>
        <v>University of Malaga (http://www.uma.es)</v>
      </c>
      <c r="J19" t="s">
        <v>28</v>
      </c>
      <c r="K19" t="str">
        <f>_xlfn.TRANSLATE(Table_1[[#This Row],[user_groups_text]],"es","en")</f>
        <v>Coordinators</v>
      </c>
      <c r="M19" t="str">
        <f>_xlfn.TRANSLATE(Table_1[[#This Row],[interests_text]],"es","en")</f>
        <v/>
      </c>
      <c r="O19" t="str">
        <f>_xlfn.TRANSLATE(Table_1[[#This Row],[education_text]],"es","en")</f>
        <v/>
      </c>
      <c r="Q19" t="str">
        <f>_xlfn.TRANSLATE(Table_1[[#This Row],[bio]],"es","en")</f>
        <v/>
      </c>
    </row>
    <row r="20" spans="1:22" ht="18.75" customHeight="1" x14ac:dyDescent="0.25">
      <c r="A20" t="s">
        <v>165</v>
      </c>
      <c r="B20" t="s">
        <v>166</v>
      </c>
      <c r="C20" t="s">
        <v>163</v>
      </c>
      <c r="D20" t="s">
        <v>167</v>
      </c>
      <c r="E20" t="b">
        <v>0</v>
      </c>
      <c r="F20" t="s">
        <v>168</v>
      </c>
      <c r="G20" t="str">
        <f>_xlfn.TRANSLATE(Table_1[[#This Row],[role]],"es","en")</f>
        <v>Team Leader</v>
      </c>
      <c r="H20" t="s">
        <v>27</v>
      </c>
      <c r="I20" t="str">
        <f>_xlfn.TRANSLATE(Table_1[[#This Row],[organizations_text]],"es","en")</f>
        <v>University of Malaga (http://www.uma.es)</v>
      </c>
      <c r="J20" t="s">
        <v>135</v>
      </c>
      <c r="K20" t="str">
        <f>_xlfn.TRANSLATE(Table_1[[#This Row],[user_groups_text]],"es","en")</f>
        <v>Team Leaders</v>
      </c>
      <c r="L20" t="s">
        <v>169</v>
      </c>
      <c r="M20" t="str">
        <f>_xlfn.TRANSLATE(Table_1[[#This Row],[interests_text]],"es","en")</f>
        <v>Robot Control, Artificial Intelligence, Drones</v>
      </c>
      <c r="N20" t="s">
        <v>170</v>
      </c>
      <c r="O20" t="str">
        <f>_xlfn.TRANSLATE(Table_1[[#This Row],[education_text]],"es","en")</f>
        <v>Student of Electronic Engineering, Robotics and Mechatronics. - University of Malaga (2020)</v>
      </c>
      <c r="P20" t="s">
        <v>171</v>
      </c>
      <c r="Q20" t="str">
        <f>_xlfn.TRANSLATE(Table_1[[#This Row],[bio]],"es","en")</f>
        <v>Interested in Rescue Robotics and Professional Application of Drones.</v>
      </c>
      <c r="S20" t="s">
        <v>172</v>
      </c>
      <c r="T20" t="s">
        <v>173</v>
      </c>
      <c r="U20" t="s">
        <v>174</v>
      </c>
    </row>
    <row r="21" spans="1:22" ht="18.75" customHeight="1" x14ac:dyDescent="0.25">
      <c r="A21" t="s">
        <v>175</v>
      </c>
      <c r="B21" t="s">
        <v>176</v>
      </c>
      <c r="C21" t="s">
        <v>177</v>
      </c>
      <c r="D21" t="s">
        <v>178</v>
      </c>
      <c r="E21" t="b">
        <v>0</v>
      </c>
      <c r="F21" t="s">
        <v>44</v>
      </c>
      <c r="G21" t="str">
        <f>_xlfn.TRANSLATE(Table_1[[#This Row],[role]],"es","en")</f>
        <v>Hardware Engineer</v>
      </c>
      <c r="H21" t="s">
        <v>27</v>
      </c>
      <c r="I21" t="str">
        <f>_xlfn.TRANSLATE(Table_1[[#This Row],[organizations_text]],"es","en")</f>
        <v>University of Malaga (http://www.uma.es)</v>
      </c>
      <c r="J21" t="s">
        <v>45</v>
      </c>
      <c r="K21" t="str">
        <f>_xlfn.TRANSLATE(Table_1[[#This Row],[user_groups_text]],"es","en")</f>
        <v>Hardware</v>
      </c>
      <c r="L21" t="s">
        <v>179</v>
      </c>
      <c r="M21" t="str">
        <f>_xlfn.TRANSLATE(Table_1[[#This Row],[interests_text]],"es","en")</f>
        <v>Robotics, 3D Design, Programming, Teamwork.</v>
      </c>
      <c r="N21" t="s">
        <v>180</v>
      </c>
      <c r="O21" t="str">
        <f>_xlfn.TRANSLATE(Table_1[[#This Row],[education_text]],"es","en")</f>
        <v>1st year student of Robotics, Electronics and Mechatronics Engineering. - University of Malaga (2024)</v>
      </c>
      <c r="P21" t="s">
        <v>181</v>
      </c>
      <c r="Q21" t="str">
        <f>_xlfn.TRANSLATE(Table_1[[#This Row],[bio]],"es","en")</f>
        <v>Robotics, 3D Design, Programming, Teamwork.</v>
      </c>
      <c r="R21" t="s">
        <v>182</v>
      </c>
      <c r="S21" t="s">
        <v>183</v>
      </c>
    </row>
    <row r="22" spans="1:22" ht="18.75" customHeight="1" x14ac:dyDescent="0.25">
      <c r="A22" t="s">
        <v>184</v>
      </c>
      <c r="B22" t="s">
        <v>185</v>
      </c>
      <c r="C22" t="s">
        <v>186</v>
      </c>
      <c r="D22" t="s">
        <v>187</v>
      </c>
      <c r="E22" t="b">
        <v>0</v>
      </c>
      <c r="F22" t="s">
        <v>188</v>
      </c>
      <c r="G22" t="str">
        <f>_xlfn.TRANSLATE(Table_1[[#This Row],[role]],"es","en")</f>
        <v>Software Engineer</v>
      </c>
      <c r="H22" t="s">
        <v>27</v>
      </c>
      <c r="I22" t="str">
        <f>_xlfn.TRANSLATE(Table_1[[#This Row],[organizations_text]],"es","en")</f>
        <v>University of Malaga (http://www.uma.es)</v>
      </c>
      <c r="J22" t="s">
        <v>71</v>
      </c>
      <c r="K22" t="str">
        <f>_xlfn.TRANSLATE(Table_1[[#This Row],[user_groups_text]],"es","en")</f>
        <v>Software</v>
      </c>
      <c r="L22" t="s">
        <v>189</v>
      </c>
      <c r="M22" t="str">
        <f>_xlfn.TRANSLATE(Table_1[[#This Row],[interests_text]],"es","en")</f>
        <v>Programming, Automation, Robotics &amp; Electronics</v>
      </c>
      <c r="N22" t="s">
        <v>190</v>
      </c>
      <c r="O22" t="str">
        <f>_xlfn.TRANSLATE(Table_1[[#This Row],[education_text]],"es","en")</f>
        <v>Robotics and Mechatronics Electronic Engineering Student (2022-x)</v>
      </c>
      <c r="P22" t="s">
        <v>48</v>
      </c>
      <c r="Q22" t="str">
        <f>_xlfn.TRANSLATE(Table_1[[#This Row],[bio]],"es","en")</f>
        <v>My interests include robotics, automation, and programming with Matlab Simulink.</v>
      </c>
      <c r="R22" t="s">
        <v>191</v>
      </c>
      <c r="S22" t="s">
        <v>192</v>
      </c>
      <c r="T22" t="s">
        <v>193</v>
      </c>
      <c r="U22" t="s">
        <v>194</v>
      </c>
      <c r="V22" t="s">
        <v>142</v>
      </c>
    </row>
    <row r="23" spans="1:22" ht="18.75" customHeight="1" x14ac:dyDescent="0.25">
      <c r="A23" t="s">
        <v>195</v>
      </c>
      <c r="B23" t="s">
        <v>196</v>
      </c>
      <c r="C23" t="s">
        <v>197</v>
      </c>
      <c r="D23" t="s">
        <v>198</v>
      </c>
      <c r="E23" t="b">
        <v>0</v>
      </c>
      <c r="F23" t="s">
        <v>199</v>
      </c>
      <c r="G23" t="str">
        <f>_xlfn.TRANSLATE(Table_1[[#This Row],[role]],"es","en")</f>
        <v>Co-leader Hardware</v>
      </c>
      <c r="H23" t="s">
        <v>27</v>
      </c>
      <c r="I23" t="str">
        <f>_xlfn.TRANSLATE(Table_1[[#This Row],[organizations_text]],"es","en")</f>
        <v>University of Malaga (http://www.uma.es)</v>
      </c>
      <c r="J23" t="s">
        <v>84</v>
      </c>
      <c r="K23" t="str">
        <f>_xlfn.TRANSLATE(Table_1[[#This Row],[user_groups_text]],"es","en")</f>
        <v>Mentors</v>
      </c>
      <c r="L23" t="s">
        <v>200</v>
      </c>
      <c r="M23" t="str">
        <f>_xlfn.TRANSLATE(Table_1[[#This Row],[interests_text]],"es","en")</f>
        <v>3D Printing, 3D Design, Robotics &amp; Electronics</v>
      </c>
      <c r="N23" t="s">
        <v>201</v>
      </c>
      <c r="O23" t="str">
        <f>_xlfn.TRANSLATE(Table_1[[#This Row],[education_text]],"es","en")</f>
        <v>Bachelor's Degree in Electronic, Robotics and Mechatronics Engineering (3rd) - University of Malaga (2024)</v>
      </c>
      <c r="P23" t="s">
        <v>202</v>
      </c>
      <c r="Q23" t="str">
        <f>_xlfn.TRANSLATE(Table_1[[#This Row],[bio]],"es","en")</f>
        <v>My interests include robotics, 3D printing, and 3D design.</v>
      </c>
      <c r="R23" t="s">
        <v>203</v>
      </c>
      <c r="S23" t="s">
        <v>204</v>
      </c>
      <c r="U23" t="s">
        <v>205</v>
      </c>
    </row>
    <row r="24" spans="1:22" ht="18.75" customHeight="1" x14ac:dyDescent="0.25">
      <c r="A24" t="s">
        <v>206</v>
      </c>
      <c r="B24" t="s">
        <v>207</v>
      </c>
      <c r="E24" t="b">
        <v>0</v>
      </c>
      <c r="F24" t="s">
        <v>145</v>
      </c>
      <c r="G24" t="str">
        <f>_xlfn.TRANSLATE(Table_1[[#This Row],[role]],"es","en")</f>
        <v>Department of Systems Engineering and Automation</v>
      </c>
      <c r="I24" t="str">
        <f>_xlfn.TRANSLATE(Table_1[[#This Row],[organizations_text]],"es","en")</f>
        <v/>
      </c>
      <c r="J24" t="s">
        <v>39</v>
      </c>
      <c r="K24" t="str">
        <f>_xlfn.TRANSLATE(Table_1[[#This Row],[user_groups_text]],"es","en")</f>
        <v>Collaborating professors</v>
      </c>
      <c r="M24" t="str">
        <f>_xlfn.TRANSLATE(Table_1[[#This Row],[interests_text]],"es","en")</f>
        <v/>
      </c>
      <c r="O24" t="str">
        <f>_xlfn.TRANSLATE(Table_1[[#This Row],[education_text]],"es","en")</f>
        <v/>
      </c>
      <c r="Q24" t="str">
        <f>_xlfn.TRANSLATE(Table_1[[#This Row],[bio]],"es","en")</f>
        <v/>
      </c>
    </row>
    <row r="25" spans="1:22" ht="18.75" customHeight="1" x14ac:dyDescent="0.25">
      <c r="A25" t="s">
        <v>208</v>
      </c>
      <c r="B25" t="s">
        <v>209</v>
      </c>
      <c r="E25" t="b">
        <v>0</v>
      </c>
      <c r="F25" t="s">
        <v>210</v>
      </c>
      <c r="G25" t="str">
        <f>_xlfn.TRANSLATE(Table_1[[#This Row],[role]],"es","en")</f>
        <v>Department of Journalism</v>
      </c>
      <c r="I25" t="str">
        <f>_xlfn.TRANSLATE(Table_1[[#This Row],[organizations_text]],"es","en")</f>
        <v/>
      </c>
      <c r="J25" t="s">
        <v>39</v>
      </c>
      <c r="K25" t="str">
        <f>_xlfn.TRANSLATE(Table_1[[#This Row],[user_groups_text]],"es","en")</f>
        <v>Collaborating professors</v>
      </c>
      <c r="M25" t="str">
        <f>_xlfn.TRANSLATE(Table_1[[#This Row],[interests_text]],"es","en")</f>
        <v/>
      </c>
      <c r="O25" t="str">
        <f>_xlfn.TRANSLATE(Table_1[[#This Row],[education_text]],"es","en")</f>
        <v/>
      </c>
      <c r="Q25" t="str">
        <f>_xlfn.TRANSLATE(Table_1[[#This Row],[bio]],"es","en")</f>
        <v/>
      </c>
    </row>
    <row r="26" spans="1:22" ht="18.75" customHeight="1" x14ac:dyDescent="0.25">
      <c r="A26" t="s">
        <v>211</v>
      </c>
      <c r="B26" t="s">
        <v>212</v>
      </c>
      <c r="C26" t="s">
        <v>213</v>
      </c>
      <c r="D26" t="s">
        <v>214</v>
      </c>
      <c r="E26" t="b">
        <v>0</v>
      </c>
      <c r="F26" t="s">
        <v>70</v>
      </c>
      <c r="G26" t="str">
        <f>_xlfn.TRANSLATE(Table_1[[#This Row],[role]],"es","en")</f>
        <v>Software Engineer</v>
      </c>
      <c r="H26" t="s">
        <v>27</v>
      </c>
      <c r="I26" t="str">
        <f>_xlfn.TRANSLATE(Table_1[[#This Row],[organizations_text]],"es","en")</f>
        <v>University of Malaga (http://www.uma.es)</v>
      </c>
      <c r="J26" t="s">
        <v>84</v>
      </c>
      <c r="K26" t="str">
        <f>_xlfn.TRANSLATE(Table_1[[#This Row],[user_groups_text]],"es","en")</f>
        <v>Mentors</v>
      </c>
      <c r="L26" t="s">
        <v>215</v>
      </c>
      <c r="M26" t="str">
        <f>_xlfn.TRANSLATE(Table_1[[#This Row],[interests_text]],"es","en")</f>
        <v>PCB Design, Robot Design &amp; Programming, General Electronic Design, Simulations &amp; Documentation</v>
      </c>
      <c r="N26" t="s">
        <v>216</v>
      </c>
      <c r="O26" t="str">
        <f>_xlfn.TRANSLATE(Table_1[[#This Row],[education_text]],"es","en")</f>
        <v>Industrial Electronic Engineering Student - University of Malaga (2021-x)</v>
      </c>
      <c r="P26" t="s">
        <v>48</v>
      </c>
      <c r="Q26" t="str">
        <f>_xlfn.TRANSLATE(Table_1[[#This Row],[bio]],"es","en")</f>
        <v>My interests include robotics, automation, and programming with Matlab Simulink.</v>
      </c>
      <c r="R26" t="s">
        <v>217</v>
      </c>
      <c r="S26" t="s">
        <v>218</v>
      </c>
      <c r="T26" t="s">
        <v>219</v>
      </c>
      <c r="U26" t="s">
        <v>220</v>
      </c>
    </row>
    <row r="27" spans="1:22" ht="18.75" customHeight="1" x14ac:dyDescent="0.25">
      <c r="A27" t="s">
        <v>221</v>
      </c>
      <c r="B27" t="s">
        <v>222</v>
      </c>
      <c r="C27" t="s">
        <v>223</v>
      </c>
      <c r="D27" t="s">
        <v>224</v>
      </c>
      <c r="E27" t="b">
        <v>0</v>
      </c>
      <c r="F27" t="s">
        <v>44</v>
      </c>
      <c r="G27" t="str">
        <f>_xlfn.TRANSLATE(Table_1[[#This Row],[role]],"es","en")</f>
        <v>Hardware Engineer</v>
      </c>
      <c r="H27" t="s">
        <v>27</v>
      </c>
      <c r="I27" t="str">
        <f>_xlfn.TRANSLATE(Table_1[[#This Row],[organizations_text]],"es","en")</f>
        <v>University of Malaga (http://www.uma.es)</v>
      </c>
      <c r="J27" t="s">
        <v>45</v>
      </c>
      <c r="K27" t="str">
        <f>_xlfn.TRANSLATE(Table_1[[#This Row],[user_groups_text]],"es","en")</f>
        <v>Hardware</v>
      </c>
      <c r="L27" t="s">
        <v>225</v>
      </c>
      <c r="M27" t="str">
        <f>_xlfn.TRANSLATE(Table_1[[#This Row],[interests_text]],"es","en")</f>
        <v>Innovation and creation of new technologies, Mechanics and design, Research and teamwork.</v>
      </c>
      <c r="N27" t="s">
        <v>226</v>
      </c>
      <c r="O27" t="str">
        <f>_xlfn.TRANSLATE(Table_1[[#This Row],[education_text]],"es","en")</f>
        <v>2nd year student of Mechanical Engineering - University of Malaga (2023)</v>
      </c>
      <c r="P27" t="s">
        <v>227</v>
      </c>
      <c r="Q27" t="str">
        <f>_xlfn.TRANSLATE(Table_1[[#This Row],[bio]],"es","en")</f>
        <v>I am interested in everything related to innovation and the creation of new technologies. I like mechanics and machine design. I am attracted to the idea of working in a competitive environment where I can learn and improve myself as a future engineer alongside other engineers with the same interests.</v>
      </c>
      <c r="R27" t="s">
        <v>228</v>
      </c>
      <c r="S27" t="s">
        <v>229</v>
      </c>
      <c r="T27" t="s">
        <v>230</v>
      </c>
    </row>
    <row r="28" spans="1:22" ht="18.75" customHeight="1" x14ac:dyDescent="0.25">
      <c r="A28" t="s">
        <v>231</v>
      </c>
      <c r="B28" t="s">
        <v>232</v>
      </c>
      <c r="C28" t="s">
        <v>24</v>
      </c>
      <c r="D28" t="s">
        <v>25</v>
      </c>
      <c r="E28" t="b">
        <v>0</v>
      </c>
      <c r="F28" t="s">
        <v>233</v>
      </c>
      <c r="G28" t="str">
        <f>_xlfn.TRANSLATE(Table_1[[#This Row],[role]],"es","en")</f>
        <v>Head of Software</v>
      </c>
      <c r="H28" t="s">
        <v>27</v>
      </c>
      <c r="I28" t="str">
        <f>_xlfn.TRANSLATE(Table_1[[#This Row],[organizations_text]],"es","en")</f>
        <v>University of Malaga (http://www.uma.es)</v>
      </c>
      <c r="J28" t="s">
        <v>99</v>
      </c>
      <c r="K28" t="str">
        <f>_xlfn.TRANSLATE(Table_1[[#This Row],[user_groups_text]],"es","en")</f>
        <v>Heads of Department</v>
      </c>
      <c r="L28" t="s">
        <v>234</v>
      </c>
      <c r="M28" t="str">
        <f>_xlfn.TRANSLATE(Table_1[[#This Row],[interests_text]],"es","en")</f>
        <v>Robot Control, Applications in Artificial Intelligence Projects, Design and Programming</v>
      </c>
      <c r="N28" t="s">
        <v>235</v>
      </c>
      <c r="O28" t="str">
        <f>_xlfn.TRANSLATE(Table_1[[#This Row],[education_text]],"es","en")</f>
        <v>4th year student of Electronics, Robotics and Mechatronics Engineering - University of Malaga (2021)</v>
      </c>
      <c r="P28" t="s">
        <v>236</v>
      </c>
      <c r="Q28" t="str">
        <f>_xlfn.TRANSLATE(Table_1[[#This Row],[bio]],"es","en")</f>
        <v>My interests include rescue robotics, automation and programming.</v>
      </c>
      <c r="R28" t="s">
        <v>237</v>
      </c>
      <c r="S28" t="s">
        <v>238</v>
      </c>
      <c r="U28" t="s">
        <v>239</v>
      </c>
    </row>
    <row r="29" spans="1:22" ht="18.75" customHeight="1" x14ac:dyDescent="0.25">
      <c r="A29" t="s">
        <v>240</v>
      </c>
      <c r="B29" t="s">
        <v>241</v>
      </c>
      <c r="C29" t="s">
        <v>242</v>
      </c>
      <c r="D29" t="s">
        <v>243</v>
      </c>
      <c r="E29" t="b">
        <v>0</v>
      </c>
      <c r="F29" t="s">
        <v>188</v>
      </c>
      <c r="G29" t="str">
        <f>_xlfn.TRANSLATE(Table_1[[#This Row],[role]],"es","en")</f>
        <v>Software Engineer</v>
      </c>
      <c r="H29" t="s">
        <v>27</v>
      </c>
      <c r="I29" t="str">
        <f>_xlfn.TRANSLATE(Table_1[[#This Row],[organizations_text]],"es","en")</f>
        <v>University of Malaga (http://www.uma.es)</v>
      </c>
      <c r="J29" t="s">
        <v>71</v>
      </c>
      <c r="K29" t="str">
        <f>_xlfn.TRANSLATE(Table_1[[#This Row],[user_groups_text]],"es","en")</f>
        <v>Software</v>
      </c>
      <c r="L29" t="s">
        <v>244</v>
      </c>
      <c r="M29" t="str">
        <f>_xlfn.TRANSLATE(Table_1[[#This Row],[interests_text]],"es","en")</f>
        <v>PCB Design, Robot Design &amp; Programming, Electronic Design</v>
      </c>
      <c r="N29" t="s">
        <v>245</v>
      </c>
      <c r="O29" t="str">
        <f>_xlfn.TRANSLATE(Table_1[[#This Row],[education_text]],"es","en")</f>
        <v>Industrial Electronic Engineering Student 4th - University of Malaga (2021-x)</v>
      </c>
      <c r="P29" t="s">
        <v>48</v>
      </c>
      <c r="Q29" t="str">
        <f>_xlfn.TRANSLATE(Table_1[[#This Row],[bio]],"es","en")</f>
        <v>My interests include robotics, automation, and programming with Matlab Simulink.</v>
      </c>
      <c r="R29" t="s">
        <v>246</v>
      </c>
      <c r="S29" t="s">
        <v>247</v>
      </c>
      <c r="T29" t="s">
        <v>248</v>
      </c>
      <c r="U29" t="s">
        <v>249</v>
      </c>
    </row>
    <row r="30" spans="1:22" ht="18.75" customHeight="1" x14ac:dyDescent="0.25">
      <c r="A30" t="s">
        <v>250</v>
      </c>
      <c r="B30" t="s">
        <v>251</v>
      </c>
      <c r="C30" t="s">
        <v>252</v>
      </c>
      <c r="D30" t="s">
        <v>253</v>
      </c>
      <c r="E30" t="b">
        <v>0</v>
      </c>
      <c r="F30" t="s">
        <v>70</v>
      </c>
      <c r="G30" t="str">
        <f>_xlfn.TRANSLATE(Table_1[[#This Row],[role]],"es","en")</f>
        <v>Software Engineer</v>
      </c>
      <c r="H30" t="s">
        <v>27</v>
      </c>
      <c r="I30" t="str">
        <f>_xlfn.TRANSLATE(Table_1[[#This Row],[organizations_text]],"es","en")</f>
        <v>University of Malaga (http://www.uma.es)</v>
      </c>
      <c r="J30" t="s">
        <v>71</v>
      </c>
      <c r="K30" t="str">
        <f>_xlfn.TRANSLATE(Table_1[[#This Row],[user_groups_text]],"es","en")</f>
        <v>Software</v>
      </c>
      <c r="L30" t="s">
        <v>254</v>
      </c>
      <c r="M30" t="str">
        <f>_xlfn.TRANSLATE(Table_1[[#This Row],[interests_text]],"es","en")</f>
        <v>Space robotics., Artificial intelligence and robotics., Reading.</v>
      </c>
      <c r="N30" t="s">
        <v>255</v>
      </c>
      <c r="O30" t="str">
        <f>_xlfn.TRANSLATE(Table_1[[#This Row],[education_text]],"es","en")</f>
        <v>1st year student of Electronics, Robotics and Mechatronics Engineering - University of Malaga (2024)</v>
      </c>
      <c r="P30" t="s">
        <v>256</v>
      </c>
      <c r="Q30" t="str">
        <f>_xlfn.TRANSLATE(Table_1[[#This Row],[bio]],"es","en")</f>
        <v>Interested in space robotics, artificial intelligence and robotics, and reading.</v>
      </c>
      <c r="R30" t="s">
        <v>257</v>
      </c>
      <c r="S30" t="s">
        <v>258</v>
      </c>
    </row>
    <row r="31" spans="1:22" ht="18.75" customHeight="1" x14ac:dyDescent="0.25">
      <c r="A31" t="s">
        <v>259</v>
      </c>
      <c r="B31" t="s">
        <v>260</v>
      </c>
      <c r="C31" t="s">
        <v>261</v>
      </c>
      <c r="D31" t="s">
        <v>25</v>
      </c>
      <c r="E31" t="b">
        <v>0</v>
      </c>
      <c r="F31" t="s">
        <v>262</v>
      </c>
      <c r="G31" t="str">
        <f>_xlfn.TRANSLATE(Table_1[[#This Row],[role]],"es","en")</f>
        <v>Head of Mechanics</v>
      </c>
      <c r="H31" t="s">
        <v>27</v>
      </c>
      <c r="I31" t="str">
        <f>_xlfn.TRANSLATE(Table_1[[#This Row],[organizations_text]],"es","en")</f>
        <v>University of Malaga (http://www.uma.es)</v>
      </c>
      <c r="J31" t="s">
        <v>99</v>
      </c>
      <c r="K31" t="str">
        <f>_xlfn.TRANSLATE(Table_1[[#This Row],[user_groups_text]],"es","en")</f>
        <v>Heads of Department</v>
      </c>
      <c r="L31" t="s">
        <v>29</v>
      </c>
      <c r="M31" t="str">
        <f>_xlfn.TRANSLATE(Table_1[[#This Row],[interests_text]],"es","en")</f>
        <v>Robot Control, Artificial Intelligence, Simulink Robot Design and Programming</v>
      </c>
      <c r="N31" t="s">
        <v>30</v>
      </c>
      <c r="O31" t="str">
        <f>_xlfn.TRANSLATE(Table_1[[#This Row],[education_text]],"es","en")</f>
        <v>Bachelor's Degree in Computer Science - University of Malaga (2000)</v>
      </c>
      <c r="P31" t="s">
        <v>31</v>
      </c>
      <c r="Q31" t="str">
        <f>_xlfn.TRANSLATE(Table_1[[#This Row],[bio]],"es","en")</f>
        <v>My interests include rescue robotics, automation, and programming with Matlab Simulink.</v>
      </c>
      <c r="R31" t="s">
        <v>32</v>
      </c>
      <c r="S31" t="s">
        <v>33</v>
      </c>
      <c r="T31" t="s">
        <v>34</v>
      </c>
      <c r="U31" t="s">
        <v>34</v>
      </c>
      <c r="V31" t="s">
        <v>35</v>
      </c>
    </row>
    <row r="32" spans="1:22" ht="18.75" customHeight="1" x14ac:dyDescent="0.25">
      <c r="A32" t="s">
        <v>263</v>
      </c>
      <c r="B32" t="s">
        <v>264</v>
      </c>
      <c r="C32" t="s">
        <v>265</v>
      </c>
      <c r="D32" t="s">
        <v>266</v>
      </c>
      <c r="E32" t="b">
        <v>0</v>
      </c>
      <c r="F32" t="s">
        <v>188</v>
      </c>
      <c r="G32" t="str">
        <f>_xlfn.TRANSLATE(Table_1[[#This Row],[role]],"es","en")</f>
        <v>Software Engineer</v>
      </c>
      <c r="H32" t="s">
        <v>27</v>
      </c>
      <c r="I32" t="str">
        <f>_xlfn.TRANSLATE(Table_1[[#This Row],[organizations_text]],"es","en")</f>
        <v>University of Malaga (http://www.uma.es)</v>
      </c>
      <c r="J32" t="s">
        <v>71</v>
      </c>
      <c r="K32" t="str">
        <f>_xlfn.TRANSLATE(Table_1[[#This Row],[user_groups_text]],"es","en")</f>
        <v>Software</v>
      </c>
      <c r="L32" t="s">
        <v>267</v>
      </c>
      <c r="M32" t="str">
        <f>_xlfn.TRANSLATE(Table_1[[#This Row],[interests_text]],"es","en")</f>
        <v>Programming, Electronics, Robotics</v>
      </c>
      <c r="N32" t="s">
        <v>190</v>
      </c>
      <c r="O32" t="str">
        <f>_xlfn.TRANSLATE(Table_1[[#This Row],[education_text]],"es","en")</f>
        <v>Robotics and Mechatronics Electronic Engineering Student (2022-x)</v>
      </c>
      <c r="P32" t="s">
        <v>268</v>
      </c>
      <c r="Q32" t="str">
        <f>_xlfn.TRANSLATE(Table_1[[#This Row],[bio]],"es","en")</f>
        <v>I am interested in robotics and programming, and completing the learning obtained at the University gaining experience in the development of a project.</v>
      </c>
      <c r="R32" t="s">
        <v>269</v>
      </c>
      <c r="S32" t="s">
        <v>192</v>
      </c>
      <c r="T32" t="s">
        <v>270</v>
      </c>
      <c r="U32" t="s">
        <v>194</v>
      </c>
      <c r="V32" t="s">
        <v>142</v>
      </c>
    </row>
    <row r="33" spans="1:21" ht="18.75" customHeight="1" x14ac:dyDescent="0.25">
      <c r="A33" t="s">
        <v>271</v>
      </c>
      <c r="B33" t="s">
        <v>272</v>
      </c>
      <c r="C33" t="s">
        <v>265</v>
      </c>
      <c r="D33" t="s">
        <v>273</v>
      </c>
      <c r="E33" t="b">
        <v>0</v>
      </c>
      <c r="F33" t="s">
        <v>57</v>
      </c>
      <c r="G33" t="str">
        <f>_xlfn.TRANSLATE(Table_1[[#This Row],[role]],"es","en")</f>
        <v>Marketing Department</v>
      </c>
      <c r="H33" t="s">
        <v>27</v>
      </c>
      <c r="I33" t="str">
        <f>_xlfn.TRANSLATE(Table_1[[#This Row],[organizations_text]],"es","en")</f>
        <v>University of Malaga (http://www.uma.es)</v>
      </c>
      <c r="J33" t="s">
        <v>58</v>
      </c>
      <c r="K33" t="str">
        <f>_xlfn.TRANSLATE(Table_1[[#This Row],[user_groups_text]],"es","en")</f>
        <v>Marketing</v>
      </c>
      <c r="L33" t="s">
        <v>274</v>
      </c>
      <c r="M33" t="str">
        <f>_xlfn.TRANSLATE(Table_1[[#This Row],[interests_text]],"es","en")</f>
        <v>Photography., Design.</v>
      </c>
      <c r="N33" t="s">
        <v>60</v>
      </c>
      <c r="O33" t="str">
        <f>_xlfn.TRANSLATE(Table_1[[#This Row],[education_text]],"es","en")</f>
        <v>3rd year Marketing and Market Research student - University of Malaga (2022)</v>
      </c>
      <c r="P33" t="s">
        <v>275</v>
      </c>
      <c r="Q33" t="str">
        <f>_xlfn.TRANSLATE(Table_1[[#This Row],[bio]],"es","en")</f>
        <v>Interested in design and photography.</v>
      </c>
      <c r="R33" t="s">
        <v>113</v>
      </c>
      <c r="S33" t="s">
        <v>276</v>
      </c>
      <c r="T33" t="s">
        <v>277</v>
      </c>
      <c r="U33" t="s">
        <v>278</v>
      </c>
    </row>
    <row r="34" spans="1:21" ht="18.75" customHeight="1" x14ac:dyDescent="0.25">
      <c r="A34" t="s">
        <v>279</v>
      </c>
      <c r="B34" t="s">
        <v>280</v>
      </c>
      <c r="E34" t="b">
        <v>0</v>
      </c>
      <c r="F34" t="s">
        <v>158</v>
      </c>
      <c r="G34" t="str">
        <f>_xlfn.TRANSLATE(Table_1[[#This Row],[role]],"es","en")</f>
        <v>Department of Electronics</v>
      </c>
      <c r="I34" t="str">
        <f>_xlfn.TRANSLATE(Table_1[[#This Row],[organizations_text]],"es","en")</f>
        <v/>
      </c>
      <c r="J34" t="s">
        <v>39</v>
      </c>
      <c r="K34" t="str">
        <f>_xlfn.TRANSLATE(Table_1[[#This Row],[user_groups_text]],"es","en")</f>
        <v>Collaborating professors</v>
      </c>
      <c r="M34" t="str">
        <f>_xlfn.TRANSLATE(Table_1[[#This Row],[interests_text]],"es","en")</f>
        <v/>
      </c>
      <c r="O34" t="str">
        <f>_xlfn.TRANSLATE(Table_1[[#This Row],[education_text]],"es","en")</f>
        <v/>
      </c>
      <c r="Q34" t="str">
        <f>_xlfn.TRANSLATE(Table_1[[#This Row],[bio]],"es","en")</f>
        <v/>
      </c>
    </row>
    <row r="35" spans="1:21" ht="18.75" customHeight="1" x14ac:dyDescent="0.25">
      <c r="A35" t="s">
        <v>281</v>
      </c>
      <c r="B35" t="s">
        <v>282</v>
      </c>
      <c r="E35" t="b">
        <v>0</v>
      </c>
      <c r="F35" t="s">
        <v>145</v>
      </c>
      <c r="G35" t="str">
        <f>_xlfn.TRANSLATE(Table_1[[#This Row],[role]],"es","en")</f>
        <v>Department of Systems Engineering and Automation</v>
      </c>
      <c r="I35" t="str">
        <f>_xlfn.TRANSLATE(Table_1[[#This Row],[organizations_text]],"es","en")</f>
        <v/>
      </c>
      <c r="J35" t="s">
        <v>39</v>
      </c>
      <c r="K35" t="str">
        <f>_xlfn.TRANSLATE(Table_1[[#This Row],[user_groups_text]],"es","en")</f>
        <v>Collaborating professors</v>
      </c>
      <c r="M35" t="str">
        <f>_xlfn.TRANSLATE(Table_1[[#This Row],[interests_text]],"es","en")</f>
        <v/>
      </c>
      <c r="O35" t="str">
        <f>_xlfn.TRANSLATE(Table_1[[#This Row],[education_text]],"es","en")</f>
        <v/>
      </c>
      <c r="Q35" t="str">
        <f>_xlfn.TRANSLATE(Table_1[[#This Row],[bio]],"es","en")</f>
        <v/>
      </c>
    </row>
    <row r="36" spans="1:21" ht="18.75" customHeight="1" x14ac:dyDescent="0.25">
      <c r="A36" t="s">
        <v>283</v>
      </c>
      <c r="B36" t="s">
        <v>284</v>
      </c>
      <c r="C36" t="s">
        <v>285</v>
      </c>
      <c r="D36" t="s">
        <v>286</v>
      </c>
      <c r="E36" t="b">
        <v>0</v>
      </c>
      <c r="F36" t="s">
        <v>70</v>
      </c>
      <c r="G36" t="str">
        <f>_xlfn.TRANSLATE(Table_1[[#This Row],[role]],"es","en")</f>
        <v>Software Engineer</v>
      </c>
      <c r="H36" t="s">
        <v>27</v>
      </c>
      <c r="I36" t="str">
        <f>_xlfn.TRANSLATE(Table_1[[#This Row],[organizations_text]],"es","en")</f>
        <v>University of Malaga (http://www.uma.es)</v>
      </c>
      <c r="J36" t="s">
        <v>71</v>
      </c>
      <c r="K36" t="str">
        <f>_xlfn.TRANSLATE(Table_1[[#This Row],[user_groups_text]],"es","en")</f>
        <v>Software</v>
      </c>
      <c r="L36" t="s">
        <v>287</v>
      </c>
      <c r="M36" t="str">
        <f>_xlfn.TRANSLATE(Table_1[[#This Row],[interests_text]],"es","en")</f>
        <v>Programming, Entrepreneurship, Aeronautics.</v>
      </c>
      <c r="N36" t="s">
        <v>288</v>
      </c>
      <c r="O36" t="str">
        <f>_xlfn.TRANSLATE(Table_1[[#This Row],[education_text]],"es","en")</f>
        <v>3rd year student of Electronics, Robotics and Mechatronics Engineering - University of Malaga (2022)</v>
      </c>
      <c r="P36" t="s">
        <v>289</v>
      </c>
      <c r="Q36" t="str">
        <f>_xlfn.TRANSLATE(Table_1[[#This Row],[bio]],"es","en")</f>
        <v>Interested in Robotics and aeronautics.</v>
      </c>
      <c r="R36" t="s">
        <v>290</v>
      </c>
      <c r="S36" t="s">
        <v>291</v>
      </c>
      <c r="U36" t="s">
        <v>292</v>
      </c>
    </row>
    <row r="37" spans="1:21" ht="18.75" customHeight="1" x14ac:dyDescent="0.25">
      <c r="A37" t="s">
        <v>293</v>
      </c>
      <c r="B37" t="s">
        <v>294</v>
      </c>
      <c r="C37" t="s">
        <v>295</v>
      </c>
      <c r="D37" t="s">
        <v>296</v>
      </c>
      <c r="E37" t="b">
        <v>0</v>
      </c>
      <c r="F37" t="s">
        <v>70</v>
      </c>
      <c r="G37" t="str">
        <f>_xlfn.TRANSLATE(Table_1[[#This Row],[role]],"es","en")</f>
        <v>Software Engineer</v>
      </c>
      <c r="H37" t="s">
        <v>27</v>
      </c>
      <c r="I37" t="str">
        <f>_xlfn.TRANSLATE(Table_1[[#This Row],[organizations_text]],"es","en")</f>
        <v>University of Malaga (http://www.uma.es)</v>
      </c>
      <c r="J37" t="s">
        <v>71</v>
      </c>
      <c r="K37" t="str">
        <f>_xlfn.TRANSLATE(Table_1[[#This Row],[user_groups_text]],"es","en")</f>
        <v>Software</v>
      </c>
      <c r="L37" t="s">
        <v>297</v>
      </c>
      <c r="M37" t="str">
        <f>_xlfn.TRANSLATE(Table_1[[#This Row],[interests_text]],"es","en")</f>
        <v>Robotics., Software., Automation.</v>
      </c>
      <c r="N37" t="s">
        <v>111</v>
      </c>
      <c r="O37" t="str">
        <f>_xlfn.TRANSLATE(Table_1[[#This Row],[education_text]],"es","en")</f>
        <v>2nd year student of Electronics, Robotics and Mechatronics Engineering - University of Malaga (2023)</v>
      </c>
      <c r="P37" t="s">
        <v>298</v>
      </c>
      <c r="Q37" t="str">
        <f>_xlfn.TRANSLATE(Table_1[[#This Row],[bio]],"es","en")</f>
        <v>Interested in Robotics, specifically in software.</v>
      </c>
      <c r="R37" t="s">
        <v>299</v>
      </c>
      <c r="S37" t="s">
        <v>300</v>
      </c>
      <c r="U37" t="s">
        <v>301</v>
      </c>
    </row>
    <row r="38" spans="1:21" ht="18.75" customHeight="1" x14ac:dyDescent="0.25">
      <c r="A38" t="s">
        <v>302</v>
      </c>
      <c r="B38" t="s">
        <v>303</v>
      </c>
      <c r="E38" t="b">
        <v>0</v>
      </c>
      <c r="G38" t="str">
        <f>_xlfn.TRANSLATE(Table_1[[#This Row],[role]],"es","en")</f>
        <v/>
      </c>
      <c r="I38" t="str">
        <f>_xlfn.TRANSLATE(Table_1[[#This Row],[organizations_text]],"es","en")</f>
        <v/>
      </c>
      <c r="J38" t="s">
        <v>52</v>
      </c>
      <c r="K38" t="str">
        <f>_xlfn.TRANSLATE(Table_1[[#This Row],[user_groups_text]],"es","en")</f>
        <v>Former members</v>
      </c>
      <c r="M38" t="str">
        <f>_xlfn.TRANSLATE(Table_1[[#This Row],[interests_text]],"es","en")</f>
        <v/>
      </c>
      <c r="O38" t="str">
        <f>_xlfn.TRANSLATE(Table_1[[#This Row],[education_text]],"es","en")</f>
        <v/>
      </c>
      <c r="Q38" t="str">
        <f>_xlfn.TRANSLATE(Table_1[[#This Row],[bio]],"es","en")</f>
        <v/>
      </c>
    </row>
    <row r="39" spans="1:21" ht="18.75" customHeight="1" x14ac:dyDescent="0.25">
      <c r="A39" t="s">
        <v>304</v>
      </c>
      <c r="B39" t="s">
        <v>305</v>
      </c>
      <c r="E39" t="b">
        <v>0</v>
      </c>
      <c r="G39" t="str">
        <f>_xlfn.TRANSLATE(Table_1[[#This Row],[role]],"es","en")</f>
        <v/>
      </c>
      <c r="I39" t="str">
        <f>_xlfn.TRANSLATE(Table_1[[#This Row],[organizations_text]],"es","en")</f>
        <v/>
      </c>
      <c r="J39" t="s">
        <v>52</v>
      </c>
      <c r="K39" t="str">
        <f>_xlfn.TRANSLATE(Table_1[[#This Row],[user_groups_text]],"es","en")</f>
        <v>Former members</v>
      </c>
      <c r="M39" t="str">
        <f>_xlfn.TRANSLATE(Table_1[[#This Row],[interests_text]],"es","en")</f>
        <v/>
      </c>
      <c r="O39" t="str">
        <f>_xlfn.TRANSLATE(Table_1[[#This Row],[education_text]],"es","en")</f>
        <v/>
      </c>
      <c r="Q39" t="str">
        <f>_xlfn.TRANSLATE(Table_1[[#This Row],[bio]],"es","en")</f>
        <v/>
      </c>
    </row>
    <row r="40" spans="1:21" ht="18.75" customHeight="1" x14ac:dyDescent="0.25">
      <c r="A40" t="s">
        <v>306</v>
      </c>
      <c r="B40" t="s">
        <v>307</v>
      </c>
      <c r="E40" t="b">
        <v>0</v>
      </c>
      <c r="G40" t="str">
        <f>_xlfn.TRANSLATE(Table_1[[#This Row],[role]],"es","en")</f>
        <v/>
      </c>
      <c r="I40" t="str">
        <f>_xlfn.TRANSLATE(Table_1[[#This Row],[organizations_text]],"es","en")</f>
        <v/>
      </c>
      <c r="J40" t="s">
        <v>52</v>
      </c>
      <c r="K40" t="str">
        <f>_xlfn.TRANSLATE(Table_1[[#This Row],[user_groups_text]],"es","en")</f>
        <v>Former members</v>
      </c>
      <c r="M40" t="str">
        <f>_xlfn.TRANSLATE(Table_1[[#This Row],[interests_text]],"es","en")</f>
        <v/>
      </c>
      <c r="O40" t="str">
        <f>_xlfn.TRANSLATE(Table_1[[#This Row],[education_text]],"es","en")</f>
        <v/>
      </c>
      <c r="Q40" t="str">
        <f>_xlfn.TRANSLATE(Table_1[[#This Row],[bio]],"es","en")</f>
        <v/>
      </c>
    </row>
    <row r="41" spans="1:21" ht="18.75" customHeight="1" x14ac:dyDescent="0.25">
      <c r="A41" t="s">
        <v>308</v>
      </c>
      <c r="B41" t="s">
        <v>309</v>
      </c>
      <c r="E41" t="b">
        <v>0</v>
      </c>
      <c r="G41" t="str">
        <f>_xlfn.TRANSLATE(Table_1[[#This Row],[role]],"es","en")</f>
        <v/>
      </c>
      <c r="I41" t="str">
        <f>_xlfn.TRANSLATE(Table_1[[#This Row],[organizations_text]],"es","en")</f>
        <v/>
      </c>
      <c r="J41" t="s">
        <v>52</v>
      </c>
      <c r="K41" t="str">
        <f>_xlfn.TRANSLATE(Table_1[[#This Row],[user_groups_text]],"es","en")</f>
        <v>Former members</v>
      </c>
      <c r="M41" t="str">
        <f>_xlfn.TRANSLATE(Table_1[[#This Row],[interests_text]],"es","en")</f>
        <v/>
      </c>
      <c r="O41" t="str">
        <f>_xlfn.TRANSLATE(Table_1[[#This Row],[education_text]],"es","en")</f>
        <v/>
      </c>
      <c r="Q41" t="str">
        <f>_xlfn.TRANSLATE(Table_1[[#This Row],[bio]],"es","en")</f>
        <v/>
      </c>
    </row>
    <row r="42" spans="1:21" ht="18.75" customHeight="1" x14ac:dyDescent="0.25">
      <c r="A42" t="s">
        <v>310</v>
      </c>
      <c r="B42" t="s">
        <v>311</v>
      </c>
      <c r="E42" t="b">
        <v>0</v>
      </c>
      <c r="G42" t="str">
        <f>_xlfn.TRANSLATE(Table_1[[#This Row],[role]],"es","en")</f>
        <v/>
      </c>
      <c r="I42" t="str">
        <f>_xlfn.TRANSLATE(Table_1[[#This Row],[organizations_text]],"es","en")</f>
        <v/>
      </c>
      <c r="J42" t="s">
        <v>52</v>
      </c>
      <c r="K42" t="str">
        <f>_xlfn.TRANSLATE(Table_1[[#This Row],[user_groups_text]],"es","en")</f>
        <v>Former members</v>
      </c>
      <c r="M42" t="str">
        <f>_xlfn.TRANSLATE(Table_1[[#This Row],[interests_text]],"es","en")</f>
        <v/>
      </c>
      <c r="O42" t="str">
        <f>_xlfn.TRANSLATE(Table_1[[#This Row],[education_text]],"es","en")</f>
        <v/>
      </c>
      <c r="Q42" t="str">
        <f>_xlfn.TRANSLATE(Table_1[[#This Row],[bio]],"es","en")</f>
        <v/>
      </c>
    </row>
    <row r="43" spans="1:21" ht="18.75" customHeight="1" x14ac:dyDescent="0.25">
      <c r="A43" t="s">
        <v>312</v>
      </c>
      <c r="B43" t="s">
        <v>313</v>
      </c>
      <c r="E43" t="b">
        <v>0</v>
      </c>
      <c r="G43" t="str">
        <f>_xlfn.TRANSLATE(Table_1[[#This Row],[role]],"es","en")</f>
        <v/>
      </c>
      <c r="I43" t="str">
        <f>_xlfn.TRANSLATE(Table_1[[#This Row],[organizations_text]],"es","en")</f>
        <v/>
      </c>
      <c r="J43" t="s">
        <v>52</v>
      </c>
      <c r="K43" t="str">
        <f>_xlfn.TRANSLATE(Table_1[[#This Row],[user_groups_text]],"es","en")</f>
        <v>Former members</v>
      </c>
      <c r="M43" t="str">
        <f>_xlfn.TRANSLATE(Table_1[[#This Row],[interests_text]],"es","en")</f>
        <v/>
      </c>
      <c r="O43" t="str">
        <f>_xlfn.TRANSLATE(Table_1[[#This Row],[education_text]],"es","en")</f>
        <v/>
      </c>
      <c r="Q43" t="str">
        <f>_xlfn.TRANSLATE(Table_1[[#This Row],[bio]],"es","en")</f>
        <v/>
      </c>
    </row>
    <row r="44" spans="1:21" ht="18.75" customHeight="1" x14ac:dyDescent="0.25">
      <c r="A44" t="s">
        <v>314</v>
      </c>
      <c r="B44" t="s">
        <v>315</v>
      </c>
      <c r="E44" t="b">
        <v>0</v>
      </c>
      <c r="G44" t="str">
        <f>_xlfn.TRANSLATE(Table_1[[#This Row],[role]],"es","en")</f>
        <v/>
      </c>
      <c r="I44" t="str">
        <f>_xlfn.TRANSLATE(Table_1[[#This Row],[organizations_text]],"es","en")</f>
        <v/>
      </c>
      <c r="J44" t="s">
        <v>52</v>
      </c>
      <c r="K44" t="str">
        <f>_xlfn.TRANSLATE(Table_1[[#This Row],[user_groups_text]],"es","en")</f>
        <v>Former members</v>
      </c>
      <c r="M44" t="str">
        <f>_xlfn.TRANSLATE(Table_1[[#This Row],[interests_text]],"es","en")</f>
        <v/>
      </c>
      <c r="O44" t="str">
        <f>_xlfn.TRANSLATE(Table_1[[#This Row],[education_text]],"es","en")</f>
        <v/>
      </c>
      <c r="Q44" t="str">
        <f>_xlfn.TRANSLATE(Table_1[[#This Row],[bio]],"es","en")</f>
        <v/>
      </c>
    </row>
  </sheetData>
  <hyperlinks>
    <hyperlink ref="R2" r:id="rId1" xr:uid="{00000000-0004-0000-0000-000000000000}"/>
    <hyperlink ref="S2" r:id="rId2" xr:uid="{00000000-0004-0000-0000-000001000000}"/>
    <hyperlink ref="R4" r:id="rId3" xr:uid="{00000000-0004-0000-0000-000002000000}"/>
    <hyperlink ref="R6" r:id="rId4" xr:uid="{00000000-0004-0000-0000-000003000000}"/>
    <hyperlink ref="S6" r:id="rId5" xr:uid="{00000000-0004-0000-0000-000004000000}"/>
    <hyperlink ref="R7" r:id="rId6" xr:uid="{00000000-0004-0000-0000-000005000000}"/>
    <hyperlink ref="S7" r:id="rId7" xr:uid="{00000000-0004-0000-0000-000006000000}"/>
    <hyperlink ref="R8" r:id="rId8" xr:uid="{00000000-0004-0000-0000-000007000000}"/>
    <hyperlink ref="S8" r:id="rId9" xr:uid="{00000000-0004-0000-0000-000008000000}"/>
    <hyperlink ref="R10" r:id="rId10" xr:uid="{00000000-0004-0000-0000-000009000000}"/>
    <hyperlink ref="S10" r:id="rId11" xr:uid="{00000000-0004-0000-0000-00000A000000}"/>
    <hyperlink ref="R11" r:id="rId12" xr:uid="{00000000-0004-0000-0000-00000B000000}"/>
    <hyperlink ref="S11" r:id="rId13" xr:uid="{00000000-0004-0000-0000-00000C000000}"/>
    <hyperlink ref="R13" r:id="rId14" xr:uid="{00000000-0004-0000-0000-00000D000000}"/>
    <hyperlink ref="S13" r:id="rId15" xr:uid="{00000000-0004-0000-0000-00000E000000}"/>
    <hyperlink ref="R14" r:id="rId16" xr:uid="{00000000-0004-0000-0000-00000F000000}"/>
    <hyperlink ref="S14" r:id="rId17" xr:uid="{00000000-0004-0000-0000-000010000000}"/>
    <hyperlink ref="R16" r:id="rId18" xr:uid="{00000000-0004-0000-0000-000011000000}"/>
    <hyperlink ref="S16" r:id="rId19" xr:uid="{00000000-0004-0000-0000-000012000000}"/>
    <hyperlink ref="R18" r:id="rId20" xr:uid="{00000000-0004-0000-0000-000013000000}"/>
    <hyperlink ref="S18" r:id="rId21" xr:uid="{00000000-0004-0000-0000-000014000000}"/>
    <hyperlink ref="S20" r:id="rId22" xr:uid="{00000000-0004-0000-0000-000015000000}"/>
    <hyperlink ref="R21" r:id="rId23" xr:uid="{00000000-0004-0000-0000-000016000000}"/>
    <hyperlink ref="S21" r:id="rId24" xr:uid="{00000000-0004-0000-0000-000017000000}"/>
    <hyperlink ref="R22" r:id="rId25" xr:uid="{00000000-0004-0000-0000-000018000000}"/>
    <hyperlink ref="S22" r:id="rId26" xr:uid="{00000000-0004-0000-0000-000019000000}"/>
    <hyperlink ref="R23" r:id="rId27" xr:uid="{00000000-0004-0000-0000-00001A000000}"/>
    <hyperlink ref="S23" r:id="rId28" xr:uid="{00000000-0004-0000-0000-00001B000000}"/>
    <hyperlink ref="R26" r:id="rId29" xr:uid="{00000000-0004-0000-0000-00001C000000}"/>
    <hyperlink ref="S26" r:id="rId30" xr:uid="{00000000-0004-0000-0000-00001D000000}"/>
    <hyperlink ref="R27" r:id="rId31" xr:uid="{00000000-0004-0000-0000-00001E000000}"/>
    <hyperlink ref="S27" r:id="rId32" xr:uid="{00000000-0004-0000-0000-00001F000000}"/>
    <hyperlink ref="R28" r:id="rId33" xr:uid="{00000000-0004-0000-0000-000020000000}"/>
    <hyperlink ref="S28" r:id="rId34" xr:uid="{00000000-0004-0000-0000-000021000000}"/>
    <hyperlink ref="R29" r:id="rId35" xr:uid="{00000000-0004-0000-0000-000022000000}"/>
    <hyperlink ref="S29" r:id="rId36" xr:uid="{00000000-0004-0000-0000-000023000000}"/>
    <hyperlink ref="R30" r:id="rId37" xr:uid="{00000000-0004-0000-0000-000024000000}"/>
    <hyperlink ref="S30" r:id="rId38" xr:uid="{00000000-0004-0000-0000-000025000000}"/>
    <hyperlink ref="R31" r:id="rId39" xr:uid="{00000000-0004-0000-0000-000026000000}"/>
    <hyperlink ref="S31" r:id="rId40" xr:uid="{00000000-0004-0000-0000-000027000000}"/>
    <hyperlink ref="R32" r:id="rId41" xr:uid="{00000000-0004-0000-0000-000028000000}"/>
    <hyperlink ref="S32" r:id="rId42" xr:uid="{00000000-0004-0000-0000-000029000000}"/>
    <hyperlink ref="R33" r:id="rId43" xr:uid="{00000000-0004-0000-0000-00002A000000}"/>
    <hyperlink ref="S33" r:id="rId44" xr:uid="{00000000-0004-0000-0000-00002B000000}"/>
    <hyperlink ref="R36" r:id="rId45" xr:uid="{00000000-0004-0000-0000-00002C000000}"/>
    <hyperlink ref="S36" r:id="rId46" xr:uid="{00000000-0004-0000-0000-00002D000000}"/>
    <hyperlink ref="R37" r:id="rId47" xr:uid="{00000000-0004-0000-0000-00002E000000}"/>
    <hyperlink ref="S37" r:id="rId48" xr:uid="{00000000-0004-0000-0000-00002F000000}"/>
  </hyperlinks>
  <pageMargins left="0.7" right="0.7" top="0.75" bottom="0.75" header="0" footer="0"/>
  <pageSetup orientation="landscape"/>
  <tableParts count="1"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Español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Laureano Wizner Lopez</cp:lastModifiedBy>
  <dcterms:modified xsi:type="dcterms:W3CDTF">2025-09-27T23:05:55Z</dcterms:modified>
</cp:coreProperties>
</file>